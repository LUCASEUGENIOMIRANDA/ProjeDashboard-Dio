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SKN1\Downloads\"/>
    </mc:Choice>
  </mc:AlternateContent>
  <xr:revisionPtr revIDLastSave="0" documentId="13_ncr:1_{5AEA05B5-9028-4AE1-BA51-1F22EEEF1EDE}" xr6:coauthVersionLast="47" xr6:coauthVersionMax="47" xr10:uidLastSave="{00000000-0000-0000-0000-000000000000}"/>
  <bookViews>
    <workbookView xWindow="-120" yWindow="-120" windowWidth="20730" windowHeight="1104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1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3" l="1"/>
  <c r="E21" i="3"/>
</calcChain>
</file>

<file path=xl/sharedStrings.xml><?xml version="1.0" encoding="utf-8"?>
<sst xmlns="http://schemas.openxmlformats.org/spreadsheetml/2006/main" count="2015" uniqueCount="320">
  <si>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</si>
  <si>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</si>
  <si>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</si>
  <si>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</si>
  <si>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</si>
  <si>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</si>
  <si>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</si>
  <si>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</si>
  <si>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</si>
  <si>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</si>
  <si>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</si>
  <si>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</si>
  <si>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</si>
  <si>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</si>
  <si>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</si>
  <si>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</si>
  <si>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</si>
  <si>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</si>
  <si>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</si>
  <si>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</si>
  <si>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</si>
  <si>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</si>
  <si>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</si>
  <si>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</si>
  <si>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</si>
  <si>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</si>
  <si>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</si>
  <si>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</si>
  <si>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</si>
  <si>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</si>
  <si>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</si>
  <si>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</si>
  <si>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</si>
  <si>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</si>
  <si>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</si>
  <si>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</si>
  <si>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</si>
  <si>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</si>
  <si>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</si>
  <si>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</si>
  <si>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</si>
  <si>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</si>
  <si>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</si>
  <si>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</si>
  <si>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</si>
  <si>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</si>
  <si>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</si>
  <si>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</si>
  <si>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</si>
  <si>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</si>
  <si>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</si>
  <si>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</si>
  <si>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</si>
  <si>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</si>
  <si>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</si>
  <si>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</si>
  <si>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</si>
  <si>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</si>
  <si>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</si>
  <si>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</si>
  <si>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</si>
  <si>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</si>
  <si>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</si>
  <si>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</si>
  <si>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</si>
  <si>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</si>
  <si>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</si>
  <si>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</si>
  <si>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</si>
  <si>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</si>
  <si>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</si>
  <si>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</si>
  <si>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</si>
  <si>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</si>
  <si>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</si>
  <si>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</si>
  <si>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</si>
  <si>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</si>
  <si>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</si>
  <si>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</si>
  <si>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</si>
  <si>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</si>
  <si>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</si>
  <si>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</si>
  <si>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</si>
  <si>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</si>
  <si>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</si>
  <si>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</si>
  <si>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</si>
  <si>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</si>
  <si>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</si>
  <si>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</si>
  <si>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</si>
  <si>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</si>
  <si>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</si>
  <si>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</si>
  <si>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</si>
  <si>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</si>
  <si>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</si>
  <si>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</si>
  <si>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</si>
  <si>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</si>
  <si>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</si>
  <si>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</si>
  <si>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</si>
  <si>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</si>
  <si>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</si>
  <si>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</si>
  <si>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</si>
  <si>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</si>
  <si>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</si>
  <si>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</si>
  <si>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</si>
  <si>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</si>
  <si>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</si>
  <si>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</si>
  <si>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</si>
  <si>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</si>
  <si>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</si>
  <si>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</si>
  <si>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</si>
  <si>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</si>
  <si>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</si>
  <si>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</si>
  <si>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</si>
  <si>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</si>
  <si>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</si>
  <si>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</si>
  <si>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</si>
  <si>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</si>
  <si>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</si>
  <si>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</si>
  <si>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</si>
  <si>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</si>
  <si>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</si>
  <si>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</si>
  <si>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</si>
  <si>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</si>
  <si>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</si>
  <si>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</si>
  <si>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</si>
  <si>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</si>
  <si>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</si>
  <si>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</si>
  <si>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</si>
  <si>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</si>
  <si>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</si>
  <si>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</si>
  <si>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</si>
  <si>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</si>
  <si>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</si>
  <si>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</si>
  <si>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</si>
  <si>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</si>
  <si>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</si>
  <si>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</si>
  <si>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</si>
  <si>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</si>
  <si>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</si>
  <si>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</si>
  <si>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</si>
  <si>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</si>
  <si>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</si>
  <si>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</si>
  <si>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</si>
  <si>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</si>
  <si>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</si>
  <si>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</si>
  <si>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</si>
  <si>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</si>
  <si>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</si>
  <si>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</si>
  <si>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</si>
  <si>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</si>
  <si>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</si>
  <si>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</si>
  <si>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</si>
  <si>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</si>
  <si>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</si>
  <si>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</si>
  <si>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</si>
  <si>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</si>
  <si>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</si>
  <si>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</si>
  <si>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</si>
  <si>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</si>
  <si>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</si>
  <si>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</si>
  <si>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</si>
  <si>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</si>
  <si>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</si>
  <si>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</si>
  <si>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</si>
  <si>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</si>
  <si>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</si>
  <si>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</si>
  <si>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</si>
  <si>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</si>
  <si>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</si>
  <si>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</si>
  <si>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</si>
  <si>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</si>
  <si>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</si>
  <si>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</si>
  <si>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</si>
  <si>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</si>
  <si>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</si>
  <si>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</si>
  <si>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</si>
  <si>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</si>
  <si>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</si>
  <si>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</si>
  <si>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</si>
  <si>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</si>
  <si>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</si>
  <si>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</si>
  <si>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</si>
  <si>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</si>
  <si>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</si>
  <si>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</si>
  <si>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</si>
  <si>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</si>
  <si>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</si>
  <si>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</si>
  <si>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</si>
  <si>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</si>
  <si>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</si>
  <si>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</si>
  <si>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</si>
  <si>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</si>
  <si>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</si>
  <si>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</si>
  <si>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</si>
  <si>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</si>
  <si>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</si>
  <si>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</si>
  <si>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</si>
  <si>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</si>
  <si>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</si>
  <si>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</si>
  <si>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</si>
  <si>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</si>
  <si>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</si>
  <si>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</si>
  <si>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</si>
  <si>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</si>
  <si>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</si>
  <si>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</si>
  <si>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</si>
  <si>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</si>
  <si>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</si>
  <si>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</si>
  <si>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</si>
  <si>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</si>
  <si>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</si>
  <si>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</si>
  <si>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</si>
  <si>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</si>
  <si>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</si>
  <si>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</si>
  <si>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</si>
  <si>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</si>
  <si>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</si>
  <si>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</si>
  <si>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</si>
  <si>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</si>
  <si>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</si>
  <si>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</si>
  <si>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</si>
  <si>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</si>
  <si>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</si>
  <si>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</si>
  <si>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</si>
  <si>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</si>
  <si>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</si>
  <si>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</si>
  <si>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</si>
  <si>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</si>
  <si>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</si>
  <si>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</si>
  <si>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</si>
  <si>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</si>
  <si>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</si>
  <si>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</si>
  <si>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</si>
  <si>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</si>
  <si>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</si>
  <si>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</si>
  <si>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</si>
  <si>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</si>
  <si>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</si>
  <si>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</si>
  <si>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</si>
  <si>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</si>
  <si>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</si>
  <si>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</si>
  <si>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</si>
  <si>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</si>
  <si>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</si>
  <si>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</si>
  <si>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</si>
  <si>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</si>
  <si>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</si>
  <si>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</si>
  <si>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</si>
  <si>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</si>
  <si>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</si>
  <si>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</si>
  <si>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</si>
  <si>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</si>
  <si>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</si>
  <si>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</si>
  <si>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</si>
  <si>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</si>
  <si>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</si>
  <si>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</si>
  <si>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Soma de Minecraft Season Pass Price</t>
  </si>
  <si>
    <t>(Vários itens)</t>
  </si>
  <si>
    <t>XBOX GAME PASS SUBSCRIPTIONS SALES</t>
  </si>
  <si>
    <t>Soma de EA Play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</si>
</sst>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&quot;R$&quot;\ * #,##0.00_-;\-&quot;R$&quot;\ * #,##0.00_-;_-&quot;R$&quot;\ * &quot;-&quot;??_-;_-@_-"/>
    <numFmt numFmtId="165" formatCode="&quot;$&quot;#,##0.00"/>
    <numFmt numFmtId="166" formatCode="[$R$-416]\ #,##0.00"/>
    <numFmt numFmtId="170" formatCode="_-[$R$-416]\ * #,##0.00_-;\-[$R$-416]\ * #,##0.00_-;_-[$R$-416]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3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5" fontId="3" fillId="0" borderId="0" xfId="0" applyNumberFormat="1" applyFont="1" applyAlignment="1">
      <alignment horizontal="center" vertical="center" wrapText="1"/>
    </xf>
    <xf numFmtId="165" fontId="0" fillId="0" borderId="0" xfId="0" applyNumberFormat="1"/>
    <xf numFmtId="166" fontId="0" fillId="0" borderId="0" xfId="0" applyNumberFormat="1"/>
    <xf numFmtId="0" fontId="0" fillId="0" borderId="0" xfId="2" applyNumberFormat="1" applyFont="1" applyAlignment="1">
      <alignment horizontal="center" vertical="center" wrapText="1"/>
    </xf>
    <xf numFmtId="0" fontId="4" fillId="0" borderId="0" xfId="2" applyNumberFormat="1" applyFont="1" applyAlignment="1">
      <alignment horizontal="center" vertical="center" wrapText="1"/>
    </xf>
    <xf numFmtId="0" fontId="6" fillId="0" borderId="2" xfId="1" applyFont="1" applyBorder="1" applyAlignment="1">
      <alignment vertical="center"/>
    </xf>
    <xf numFmtId="0" fontId="6" fillId="0" borderId="2" xfId="1" applyFont="1" applyBorder="1"/>
    <xf numFmtId="0" fontId="5" fillId="0" borderId="2" xfId="0" applyFont="1" applyBorder="1"/>
    <xf numFmtId="0" fontId="0" fillId="8" borderId="0" xfId="0" applyFill="1"/>
    <xf numFmtId="170" fontId="0" fillId="0" borderId="0" xfId="0" applyNumberFormat="1"/>
    <xf numFmtId="0" fontId="4" fillId="8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font>
        <color theme="0"/>
      </font>
      <fill>
        <patternFill>
          <bgColor rgb="FF22C55E"/>
        </patternFill>
      </fill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55E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3 2" pivot="0" table="0" count="10" xr9:uid="{C303201E-A1D8-4C6D-A35A-1439398DD2DB}">
      <tableStyleElement type="wholeTable" dxfId="1"/>
      <tableStyleElement type="headerRow" dxfId="0"/>
    </tableStyle>
  </tableStyles>
  <colors>
    <mruColors>
      <color rgb="FF2AE6B1"/>
      <color rgb="FF22C55E"/>
      <color rgb="FF5BF6A8"/>
      <color rgb="FFE0E0E0"/>
      <color rgb="FFE8E6E9"/>
      <color rgb="FF00000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5117038483843"/>
              <bgColor theme="6" tint="0.3999450666829432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[805d54f9-6d53-4246-bed7-4aa2da615923.xlsx]C̳álculos!Tbl_Anual_Total</c:name>
    <c:fmtId val="4"/>
  </c:pivotSource>
  <c:chart>
    <c:autoTitleDeleted val="1"/>
    <c:pivotFmts>
      <c:pivotFmt>
        <c:idx val="0"/>
        <c:spPr>
          <a:solidFill>
            <a:srgbClr val="00B0F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[$R$-416]\ #,##0.00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84-4E23-A3F3-7AE0B0A0E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2820784"/>
        <c:axId val="552828944"/>
      </c:barChart>
      <c:catAx>
        <c:axId val="552820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2828944"/>
        <c:crosses val="autoZero"/>
        <c:auto val="1"/>
        <c:lblAlgn val="ctr"/>
        <c:lblOffset val="100"/>
        <c:noMultiLvlLbl val="0"/>
      </c:catAx>
      <c:valAx>
        <c:axId val="552828944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$R$-416]\ #,##0.00" sourceLinked="1"/>
        <c:majorTickMark val="none"/>
        <c:minorTickMark val="none"/>
        <c:tickLblPos val="nextTo"/>
        <c:crossAx val="55282078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chart" Target="../charts/chart1.xml"/><Relationship Id="rId6" Type="http://schemas.openxmlformats.org/officeDocument/2006/relationships/image" Target="../media/image6.png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179917</xdr:colOff>
      <xdr:row>46</xdr:row>
      <xdr:rowOff>127000</xdr:rowOff>
    </xdr:from>
    <xdr:to>
      <xdr:col>12</xdr:col>
      <xdr:colOff>484717</xdr:colOff>
      <xdr:row>51</xdr:row>
      <xdr:rowOff>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14012334" y="931333"/>
          <a:ext cx="304800" cy="306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12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10</xdr:row>
      <xdr:rowOff>0</xdr:rowOff>
    </xdr:from>
    <xdr:to>
      <xdr:col>12</xdr:col>
      <xdr:colOff>104775</xdr:colOff>
      <xdr:row>11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</xdr:row>
      <xdr:rowOff>0</xdr:rowOff>
    </xdr:from>
    <xdr:to>
      <xdr:col>14</xdr:col>
      <xdr:colOff>104775</xdr:colOff>
      <xdr:row>11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35719</xdr:colOff>
      <xdr:row>9</xdr:row>
      <xdr:rowOff>59530</xdr:rowOff>
    </xdr:from>
    <xdr:to>
      <xdr:col>0</xdr:col>
      <xdr:colOff>1864519</xdr:colOff>
      <xdr:row>21</xdr:row>
      <xdr:rowOff>142874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EEAD8E40-F189-4C06-8277-5629122719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19" y="1940718"/>
              <a:ext cx="1828800" cy="23693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107156</xdr:colOff>
      <xdr:row>20</xdr:row>
      <xdr:rowOff>166687</xdr:rowOff>
    </xdr:from>
    <xdr:to>
      <xdr:col>18</xdr:col>
      <xdr:colOff>142875</xdr:colOff>
      <xdr:row>39</xdr:row>
      <xdr:rowOff>95249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6917EB37-9980-06D2-8928-8F61C5D24A15}"/>
            </a:ext>
          </a:extLst>
        </xdr:cNvPr>
        <xdr:cNvGrpSpPr/>
      </xdr:nvGrpSpPr>
      <xdr:grpSpPr>
        <a:xfrm>
          <a:off x="2083594" y="4143375"/>
          <a:ext cx="9822656" cy="3548062"/>
          <a:chOff x="2309811" y="1488282"/>
          <a:chExt cx="5095875" cy="3286124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96A06A38-0939-B053-B6A9-74D80C306DDE}"/>
              </a:ext>
            </a:extLst>
          </xdr:cNvPr>
          <xdr:cNvSpPr/>
        </xdr:nvSpPr>
        <xdr:spPr>
          <a:xfrm>
            <a:off x="2309811" y="1488282"/>
            <a:ext cx="5095875" cy="3286124"/>
          </a:xfrm>
          <a:prstGeom prst="roundRect">
            <a:avLst>
              <a:gd name="adj" fmla="val 397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9FC1A42C-86BE-4D1D-B624-34DDAB3B5D58}"/>
              </a:ext>
            </a:extLst>
          </xdr:cNvPr>
          <xdr:cNvGraphicFramePr>
            <a:graphicFrameLocks/>
          </xdr:cNvGraphicFramePr>
        </xdr:nvGraphicFramePr>
        <xdr:xfrm>
          <a:off x="2450900" y="1952707"/>
          <a:ext cx="4798216" cy="27996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1</xdr:col>
      <xdr:colOff>190498</xdr:colOff>
      <xdr:row>8</xdr:row>
      <xdr:rowOff>142875</xdr:rowOff>
    </xdr:from>
    <xdr:to>
      <xdr:col>9</xdr:col>
      <xdr:colOff>333376</xdr:colOff>
      <xdr:row>18</xdr:row>
      <xdr:rowOff>107155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9431A54F-7BE4-1CA9-10A7-F725833C4C13}"/>
            </a:ext>
          </a:extLst>
        </xdr:cNvPr>
        <xdr:cNvGrpSpPr/>
      </xdr:nvGrpSpPr>
      <xdr:grpSpPr>
        <a:xfrm>
          <a:off x="2166936" y="1833563"/>
          <a:ext cx="4631534" cy="1869280"/>
          <a:chOff x="2464592" y="1857375"/>
          <a:chExt cx="4631534" cy="1869280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78DA6F70-0E0F-BCD4-3D49-9144BA23DEC8}"/>
              </a:ext>
            </a:extLst>
          </xdr:cNvPr>
          <xdr:cNvGrpSpPr/>
        </xdr:nvGrpSpPr>
        <xdr:grpSpPr>
          <a:xfrm>
            <a:off x="2464592" y="2214561"/>
            <a:ext cx="4631531" cy="1512094"/>
            <a:chOff x="2857408" y="1488281"/>
            <a:chExt cx="4595905" cy="1512094"/>
          </a:xfrm>
        </xdr:grpSpPr>
        <xdr:sp macro="" textlink="">
          <xdr:nvSpPr>
            <xdr:cNvPr id="10" name="Retângulo 9">
              <a:extLst>
                <a:ext uri="{FF2B5EF4-FFF2-40B4-BE49-F238E27FC236}">
                  <a16:creationId xmlns:a16="http://schemas.microsoft.com/office/drawing/2014/main" id="{AB74C096-2229-E2AC-07E2-3C915B6BB6AE}"/>
                </a:ext>
              </a:extLst>
            </xdr:cNvPr>
            <xdr:cNvSpPr/>
          </xdr:nvSpPr>
          <xdr:spPr>
            <a:xfrm>
              <a:off x="2857408" y="1488281"/>
              <a:ext cx="4595905" cy="1512094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algn="l"/>
              <a:endParaRPr lang="pt-BR" sz="1100"/>
            </a:p>
          </xdr:txBody>
        </xdr:sp>
        <xdr:sp macro="" textlink="C̳álculos!E21">
          <xdr:nvSpPr>
            <xdr:cNvPr id="12" name="Retângulo 11">
              <a:extLst>
                <a:ext uri="{FF2B5EF4-FFF2-40B4-BE49-F238E27FC236}">
                  <a16:creationId xmlns:a16="http://schemas.microsoft.com/office/drawing/2014/main" id="{0944A77B-3780-FB07-FDE1-18FFC6C3DA4B}"/>
                </a:ext>
              </a:extLst>
            </xdr:cNvPr>
            <xdr:cNvSpPr/>
          </xdr:nvSpPr>
          <xdr:spPr>
            <a:xfrm>
              <a:off x="4262437" y="1774031"/>
              <a:ext cx="3012282" cy="102393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algn="ctr"/>
              <a:fld id="{562A470C-F6FD-48EC-B5F5-62EBBA62EB88}" type="TxLink">
                <a:rPr lang="en-US" sz="3200" b="0" i="0" u="none" strike="noStrike">
                  <a:solidFill>
                    <a:srgbClr val="2AE6B1"/>
                  </a:solidFill>
                  <a:latin typeface="Aptos Narrow"/>
                </a:rPr>
                <a:pPr algn="ctr"/>
                <a:t> R$ 2,940.00 </a:t>
              </a:fld>
              <a:endParaRPr lang="en-US" sz="3200">
                <a:solidFill>
                  <a:srgbClr val="2AE6B1"/>
                </a:solidFill>
              </a:endParaRPr>
            </a:p>
          </xdr:txBody>
        </xdr:sp>
        <xdr:pic>
          <xdr:nvPicPr>
            <xdr:cNvPr id="13" name="Imagem 12">
              <a:extLst>
                <a:ext uri="{FF2B5EF4-FFF2-40B4-BE49-F238E27FC236}">
                  <a16:creationId xmlns:a16="http://schemas.microsoft.com/office/drawing/2014/main" id="{B9AB616F-A2E1-423D-ACF1-1955124251C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155156" y="1631156"/>
              <a:ext cx="1219200" cy="1219200"/>
            </a:xfrm>
            <a:prstGeom prst="rect">
              <a:avLst/>
            </a:prstGeom>
          </xdr:spPr>
        </xdr:pic>
      </xdr:grpSp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1F53E91E-993C-80B2-8B26-024F6E727D14}"/>
              </a:ext>
            </a:extLst>
          </xdr:cNvPr>
          <xdr:cNvSpPr/>
        </xdr:nvSpPr>
        <xdr:spPr>
          <a:xfrm>
            <a:off x="2464594" y="1857375"/>
            <a:ext cx="4631532" cy="416719"/>
          </a:xfrm>
          <a:prstGeom prst="roundRect">
            <a:avLst>
              <a:gd name="adj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pt-BR" sz="1400"/>
              <a:t>TOTAL DE </a:t>
            </a:r>
            <a:r>
              <a:rPr lang="pt-BR" sz="1400">
                <a:latin typeface="Segoe UI" panose="020B0502040204020203" pitchFamily="34" charset="0"/>
                <a:cs typeface="Segoe UI" panose="020B0502040204020203" pitchFamily="34" charset="0"/>
              </a:rPr>
              <a:t>SUBSCRIPITIONS</a:t>
            </a:r>
            <a:r>
              <a:rPr lang="pt-BR" sz="1400" baseline="0"/>
              <a:t> EA PLAY SEASON PASS</a:t>
            </a:r>
            <a:endParaRPr lang="pt-BR" sz="1400"/>
          </a:p>
        </xdr:txBody>
      </xdr:sp>
    </xdr:grpSp>
    <xdr:clientData/>
  </xdr:twoCellAnchor>
  <xdr:twoCellAnchor>
    <xdr:from>
      <xdr:col>10</xdr:col>
      <xdr:colOff>154779</xdr:colOff>
      <xdr:row>8</xdr:row>
      <xdr:rowOff>130970</xdr:rowOff>
    </xdr:from>
    <xdr:to>
      <xdr:col>18</xdr:col>
      <xdr:colOff>95251</xdr:colOff>
      <xdr:row>18</xdr:row>
      <xdr:rowOff>95250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57F6AF62-4FB8-496A-A82F-1901DD2C09F2}"/>
            </a:ext>
          </a:extLst>
        </xdr:cNvPr>
        <xdr:cNvGrpSpPr/>
      </xdr:nvGrpSpPr>
      <xdr:grpSpPr>
        <a:xfrm>
          <a:off x="7227092" y="1821658"/>
          <a:ext cx="4631534" cy="1869280"/>
          <a:chOff x="2464592" y="1857375"/>
          <a:chExt cx="4631534" cy="1869280"/>
        </a:xfrm>
      </xdr:grpSpPr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808B5890-205B-B076-C884-AFD2F20F5B79}"/>
              </a:ext>
            </a:extLst>
          </xdr:cNvPr>
          <xdr:cNvGrpSpPr/>
        </xdr:nvGrpSpPr>
        <xdr:grpSpPr>
          <a:xfrm>
            <a:off x="2464592" y="2214561"/>
            <a:ext cx="4631531" cy="1512094"/>
            <a:chOff x="2857408" y="1488281"/>
            <a:chExt cx="4595905" cy="1512094"/>
          </a:xfrm>
        </xdr:grpSpPr>
        <xdr:sp macro="" textlink="">
          <xdr:nvSpPr>
            <xdr:cNvPr id="21" name="Retângulo 20">
              <a:extLst>
                <a:ext uri="{FF2B5EF4-FFF2-40B4-BE49-F238E27FC236}">
                  <a16:creationId xmlns:a16="http://schemas.microsoft.com/office/drawing/2014/main" id="{DC7010E9-8234-9B32-ABC6-1C7E17B7C9A7}"/>
                </a:ext>
              </a:extLst>
            </xdr:cNvPr>
            <xdr:cNvSpPr/>
          </xdr:nvSpPr>
          <xdr:spPr>
            <a:xfrm>
              <a:off x="2857408" y="1488281"/>
              <a:ext cx="4595905" cy="1512094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algn="l"/>
              <a:endParaRPr lang="pt-BR" sz="1100"/>
            </a:p>
          </xdr:txBody>
        </xdr:sp>
        <xdr:sp macro="" textlink="C̳álculos!E29">
          <xdr:nvSpPr>
            <xdr:cNvPr id="22" name="Retângulo 21">
              <a:extLst>
                <a:ext uri="{FF2B5EF4-FFF2-40B4-BE49-F238E27FC236}">
                  <a16:creationId xmlns:a16="http://schemas.microsoft.com/office/drawing/2014/main" id="{CA9C1068-BFCA-A7F2-128D-594B3521C065}"/>
                </a:ext>
              </a:extLst>
            </xdr:cNvPr>
            <xdr:cNvSpPr/>
          </xdr:nvSpPr>
          <xdr:spPr>
            <a:xfrm>
              <a:off x="4345140" y="1774031"/>
              <a:ext cx="3012282" cy="102393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algn="ctr"/>
              <a:fld id="{4F920673-D69F-4B13-A0B3-F2385AEA8911}" type="TxLink">
                <a:rPr lang="en-US" sz="3200" b="0" i="0" u="none" strike="noStrike">
                  <a:solidFill>
                    <a:srgbClr val="2AE6B1"/>
                  </a:solidFill>
                  <a:latin typeface="Aptos Narrow"/>
                </a:rPr>
                <a:t>$3,880.00</a:t>
              </a:fld>
              <a:endParaRPr lang="en-US" sz="7200" b="0" i="0" u="none" strike="noStrike">
                <a:solidFill>
                  <a:srgbClr val="2AE6B1"/>
                </a:solidFill>
                <a:latin typeface="Aptos Narrow"/>
              </a:endParaRPr>
            </a:p>
          </xdr:txBody>
        </xdr:sp>
      </xdr:grpSp>
      <xdr:sp macro="" textlink="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41817466-BA80-A878-7668-CBB45F73BE26}"/>
              </a:ext>
            </a:extLst>
          </xdr:cNvPr>
          <xdr:cNvSpPr/>
        </xdr:nvSpPr>
        <xdr:spPr>
          <a:xfrm>
            <a:off x="2464594" y="1857375"/>
            <a:ext cx="4631532" cy="416719"/>
          </a:xfrm>
          <a:prstGeom prst="roundRect">
            <a:avLst>
              <a:gd name="adj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pt-BR" sz="1400"/>
              <a:t>TOTAL DE </a:t>
            </a:r>
            <a:r>
              <a:rPr lang="pt-BR" sz="1400">
                <a:latin typeface="Segoe UI" panose="020B0502040204020203" pitchFamily="34" charset="0"/>
                <a:cs typeface="Segoe UI" panose="020B0502040204020203" pitchFamily="34" charset="0"/>
              </a:rPr>
              <a:t>SUBSCRIPITIONS</a:t>
            </a:r>
            <a:r>
              <a:rPr lang="pt-BR" sz="1400" baseline="0"/>
              <a:t> EA PLAY SEASON PASS</a:t>
            </a:r>
            <a:endParaRPr lang="pt-BR" sz="1400"/>
          </a:p>
        </xdr:txBody>
      </xdr:sp>
    </xdr:grpSp>
    <xdr:clientData/>
  </xdr:twoCellAnchor>
  <xdr:twoCellAnchor editAs="absolute">
    <xdr:from>
      <xdr:col>10</xdr:col>
      <xdr:colOff>297654</xdr:colOff>
      <xdr:row>12</xdr:row>
      <xdr:rowOff>107158</xdr:rowOff>
    </xdr:from>
    <xdr:to>
      <xdr:col>13</xdr:col>
      <xdr:colOff>192162</xdr:colOff>
      <xdr:row>16</xdr:row>
      <xdr:rowOff>97634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C132DD28-5B05-4897-9DAB-573114580617}"/>
            </a:ext>
          </a:extLst>
        </xdr:cNvPr>
        <xdr:cNvGrpSpPr/>
      </xdr:nvGrpSpPr>
      <xdr:grpSpPr>
        <a:xfrm>
          <a:off x="7369967" y="2559846"/>
          <a:ext cx="1549476" cy="752476"/>
          <a:chOff x="3495675" y="5400674"/>
          <a:chExt cx="1549476" cy="752476"/>
        </a:xfrm>
      </xdr:grpSpPr>
      <xdr:pic>
        <xdr:nvPicPr>
          <xdr:cNvPr id="25" name="Imagem 24">
            <a:extLst>
              <a:ext uri="{FF2B5EF4-FFF2-40B4-BE49-F238E27FC236}">
                <a16:creationId xmlns:a16="http://schemas.microsoft.com/office/drawing/2014/main" id="{B875E994-68AC-0449-1B42-C35060F7E9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6" name="Gráfico 25">
            <a:extLst>
              <a:ext uri="{FF2B5EF4-FFF2-40B4-BE49-F238E27FC236}">
                <a16:creationId xmlns:a16="http://schemas.microsoft.com/office/drawing/2014/main" id="{D8DE9EA1-7AD7-C3CE-4BEB-EE7B486046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107156</xdr:colOff>
      <xdr:row>20</xdr:row>
      <xdr:rowOff>154781</xdr:rowOff>
    </xdr:from>
    <xdr:to>
      <xdr:col>18</xdr:col>
      <xdr:colOff>154781</xdr:colOff>
      <xdr:row>23</xdr:row>
      <xdr:rowOff>59531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795281CF-D045-4FCF-A751-3FDBEB9A4B02}"/>
            </a:ext>
          </a:extLst>
        </xdr:cNvPr>
        <xdr:cNvSpPr/>
      </xdr:nvSpPr>
      <xdr:spPr>
        <a:xfrm>
          <a:off x="2083594" y="4131469"/>
          <a:ext cx="9834562" cy="476250"/>
        </a:xfrm>
        <a:prstGeom prst="roundRect">
          <a:avLst>
            <a:gd name="adj" fmla="val 11429"/>
          </a:avLst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pt-BR" sz="1400"/>
            <a:t>TOTAL DE </a:t>
          </a:r>
          <a:r>
            <a:rPr lang="pt-BR" sz="1400">
              <a:latin typeface="Segoe UI" panose="020B0502040204020203" pitchFamily="34" charset="0"/>
              <a:cs typeface="Segoe UI" panose="020B0502040204020203" pitchFamily="34" charset="0"/>
            </a:rPr>
            <a:t>SUBSCRIPITIONS</a:t>
          </a:r>
          <a:r>
            <a:rPr lang="pt-BR" sz="1400" baseline="0"/>
            <a:t> XBOX GAME PASS</a:t>
          </a:r>
          <a:endParaRPr lang="pt-BR" sz="1400"/>
        </a:p>
      </xdr:txBody>
    </xdr:sp>
    <xdr:clientData/>
  </xdr:twoCellAnchor>
  <xdr:twoCellAnchor>
    <xdr:from>
      <xdr:col>0</xdr:col>
      <xdr:colOff>404814</xdr:colOff>
      <xdr:row>0</xdr:row>
      <xdr:rowOff>83344</xdr:rowOff>
    </xdr:from>
    <xdr:to>
      <xdr:col>0</xdr:col>
      <xdr:colOff>1345407</xdr:colOff>
      <xdr:row>5</xdr:row>
      <xdr:rowOff>23812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8ACEAD70-8C1D-4353-B35D-EF9CDCBF3A9F}"/>
            </a:ext>
          </a:extLst>
        </xdr:cNvPr>
        <xdr:cNvSpPr/>
      </xdr:nvSpPr>
      <xdr:spPr>
        <a:xfrm>
          <a:off x="404814" y="83344"/>
          <a:ext cx="940593" cy="928687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400" kern="1200"/>
        </a:p>
      </xdr:txBody>
    </xdr:sp>
    <xdr:clientData/>
  </xdr:twoCellAnchor>
  <xdr:twoCellAnchor>
    <xdr:from>
      <xdr:col>0</xdr:col>
      <xdr:colOff>166687</xdr:colOff>
      <xdr:row>6</xdr:row>
      <xdr:rowOff>226218</xdr:rowOff>
    </xdr:from>
    <xdr:to>
      <xdr:col>0</xdr:col>
      <xdr:colOff>1797844</xdr:colOff>
      <xdr:row>7</xdr:row>
      <xdr:rowOff>142874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E2981D0A-36EE-788F-692B-17875CBB55F2}"/>
            </a:ext>
          </a:extLst>
        </xdr:cNvPr>
        <xdr:cNvSpPr/>
      </xdr:nvSpPr>
      <xdr:spPr>
        <a:xfrm>
          <a:off x="166687" y="1309687"/>
          <a:ext cx="1631157" cy="3333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pt-BR" sz="1400">
              <a:solidFill>
                <a:schemeClr val="bg1"/>
              </a:solidFill>
            </a:rPr>
            <a:t>Bem</a:t>
          </a:r>
          <a:r>
            <a:rPr lang="pt-BR" sz="1400" baseline="0">
              <a:solidFill>
                <a:schemeClr val="bg1"/>
              </a:solidFill>
            </a:rPr>
            <a:t> Vindo, Marcos</a:t>
          </a:r>
          <a:endParaRPr lang="pt-BR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83343</xdr:colOff>
      <xdr:row>6</xdr:row>
      <xdr:rowOff>321468</xdr:rowOff>
    </xdr:from>
    <xdr:to>
      <xdr:col>13</xdr:col>
      <xdr:colOff>250031</xdr:colOff>
      <xdr:row>7</xdr:row>
      <xdr:rowOff>119062</xdr:rowOff>
    </xdr:to>
    <xdr:sp macro="" textlink="">
      <xdr:nvSpPr>
        <xdr:cNvPr id="31" name="Retângulo: Cantos Arredondados 30">
          <a:extLst>
            <a:ext uri="{FF2B5EF4-FFF2-40B4-BE49-F238E27FC236}">
              <a16:creationId xmlns:a16="http://schemas.microsoft.com/office/drawing/2014/main" id="{1E0CF8EF-1429-40E7-F359-CE30CC1A3453}"/>
            </a:ext>
          </a:extLst>
        </xdr:cNvPr>
        <xdr:cNvSpPr/>
      </xdr:nvSpPr>
      <xdr:spPr>
        <a:xfrm>
          <a:off x="2297906" y="1404937"/>
          <a:ext cx="6679406" cy="21431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pt-BR" sz="1100">
              <a:solidFill>
                <a:schemeClr val="tx1"/>
              </a:solidFill>
            </a:rPr>
            <a:t>Calculate</a:t>
          </a:r>
          <a:r>
            <a:rPr lang="pt-BR" sz="1100" baseline="0">
              <a:solidFill>
                <a:schemeClr val="tx1"/>
              </a:solidFill>
            </a:rPr>
            <a:t> period 01/01/2024 - 31/12/2024 | Update date : 05/05/2026</a:t>
          </a:r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Eugênio Miranda Pinto" refreshedDate="46147.874482638887" createdVersion="8" refreshedVersion="8" minRefreshableVersion="3" recordCount="296" xr:uid="{72D05762-D432-43A6-81E9-EA6643D90CEC}">
  <cacheSource type="worksheet">
    <worksheetSource ref="A1:M1048576" sheet="B̳ases"/>
  </cacheSource>
  <cacheFields count="15">
    <cacheField name="Subscriber ID" numFmtId="0">
      <sharedItems containsString="0" containsBlank="1" containsNumber="1" containsInteger="1" minValue="3231" maxValue="3525"/>
    </cacheField>
    <cacheField name="Name" numFmtId="0">
      <sharedItems containsBlank="1" count="281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  <m/>
      </sharedItems>
    </cacheField>
    <cacheField name="Plan" numFmtId="0">
      <sharedItems containsBlank="1" count="4">
        <s v="Ultimate"/>
        <s v="Core"/>
        <s v="Standard"/>
        <m/>
      </sharedItems>
    </cacheField>
    <cacheField name="Start Date" numFmtId="0">
      <sharedItems containsNonDate="0" containsDate="1" containsString="0" containsBlank="1" minDate="2024-01-01T00:00:00" maxDate="2024-12-17T00:00:00" count="295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m/>
      </sharedItems>
      <fieldGroup par="14"/>
    </cacheField>
    <cacheField name="Auto Renewal" numFmtId="0">
      <sharedItems containsBlank="1" count="3">
        <s v="Yes"/>
        <s v="No"/>
        <m/>
      </sharedItems>
    </cacheField>
    <cacheField name="Subscription Price" numFmtId="0">
      <sharedItems containsString="0" containsBlank="1" containsNumber="1" containsInteger="1" minValue="5" maxValue="15" count="4">
        <n v="15"/>
        <n v="5"/>
        <n v="10"/>
        <m/>
      </sharedItems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/>
    </cacheField>
    <cacheField name="EA Play Season Pass_x000a_Price" numFmtId="0">
      <sharedItems containsBlank="1" containsMixedTypes="1" containsNumber="1" containsInteger="1" minValue="30" maxValue="30" count="3">
        <n v="30"/>
        <s v="-"/>
        <m/>
      </sharedItems>
    </cacheField>
    <cacheField name="Minecraft Season Pass" numFmtId="0">
      <sharedItems containsBlank="1" count="3">
        <s v="Yes"/>
        <s v="No"/>
        <m/>
      </sharedItems>
    </cacheField>
    <cacheField name="Minecraft Season Pass Price" numFmtId="0">
      <sharedItems containsString="0" containsBlank="1" containsNumber="1" containsInteger="1" minValue="0" maxValue="20"/>
    </cacheField>
    <cacheField name="Coupon Value" numFmtId="0">
      <sharedItems containsString="0" containsBlank="1" containsNumber="1" containsInteger="1" minValue="0" maxValue="20"/>
    </cacheField>
    <cacheField name="Total Value" numFmtId="0">
      <sharedItems containsString="0" containsBlank="1" containsNumber="1" containsInteger="1" minValue="3" maxValue="62" count="16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  <m/>
      </sharedItems>
    </cacheField>
    <cacheField name="Dias (Start Date)" numFmtId="0" databaseField="0">
      <fieldGroup base="3">
        <rangePr groupBy="days" startDate="2024-01-01T00:00:00" endDate="2024-12-17T00:00:00"/>
        <groupItems count="368">
          <s v="&lt;1/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17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7/2024"/>
        </groupItems>
      </fieldGroup>
    </cacheField>
  </cacheFields>
  <extLst>
    <ext xmlns:x14="http://schemas.microsoft.com/office/spreadsheetml/2009/9/main" uri="{725AE2AE-9491-48be-B2B4-4EB974FC3084}">
      <x14:pivotCacheDefinition pivotCacheId="4865957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3231"/>
    <x v="0"/>
    <x v="0"/>
    <x v="0"/>
    <x v="0"/>
    <x v="0"/>
    <x v="0"/>
    <s v="Yes"/>
    <x v="0"/>
    <x v="0"/>
    <n v="20"/>
    <n v="5"/>
    <x v="0"/>
  </r>
  <r>
    <n v="3232"/>
    <x v="1"/>
    <x v="1"/>
    <x v="1"/>
    <x v="1"/>
    <x v="1"/>
    <x v="1"/>
    <s v="No"/>
    <x v="1"/>
    <x v="1"/>
    <n v="0"/>
    <n v="0"/>
    <x v="1"/>
  </r>
  <r>
    <n v="3233"/>
    <x v="2"/>
    <x v="2"/>
    <x v="2"/>
    <x v="0"/>
    <x v="2"/>
    <x v="2"/>
    <s v="No"/>
    <x v="1"/>
    <x v="0"/>
    <n v="20"/>
    <n v="10"/>
    <x v="2"/>
  </r>
  <r>
    <n v="3234"/>
    <x v="3"/>
    <x v="0"/>
    <x v="3"/>
    <x v="1"/>
    <x v="0"/>
    <x v="0"/>
    <s v="Yes"/>
    <x v="0"/>
    <x v="0"/>
    <n v="20"/>
    <n v="3"/>
    <x v="3"/>
  </r>
  <r>
    <n v="3235"/>
    <x v="4"/>
    <x v="1"/>
    <x v="4"/>
    <x v="0"/>
    <x v="1"/>
    <x v="0"/>
    <s v="No"/>
    <x v="1"/>
    <x v="1"/>
    <n v="0"/>
    <n v="1"/>
    <x v="4"/>
  </r>
  <r>
    <n v="3236"/>
    <x v="5"/>
    <x v="2"/>
    <x v="5"/>
    <x v="1"/>
    <x v="2"/>
    <x v="0"/>
    <s v="No"/>
    <x v="1"/>
    <x v="0"/>
    <n v="20"/>
    <n v="2"/>
    <x v="5"/>
  </r>
  <r>
    <n v="3237"/>
    <x v="6"/>
    <x v="0"/>
    <x v="6"/>
    <x v="0"/>
    <x v="0"/>
    <x v="2"/>
    <s v="Yes"/>
    <x v="0"/>
    <x v="0"/>
    <n v="20"/>
    <n v="10"/>
    <x v="6"/>
  </r>
  <r>
    <n v="3238"/>
    <x v="7"/>
    <x v="1"/>
    <x v="7"/>
    <x v="0"/>
    <x v="1"/>
    <x v="1"/>
    <s v="No"/>
    <x v="1"/>
    <x v="1"/>
    <n v="0"/>
    <n v="0"/>
    <x v="1"/>
  </r>
  <r>
    <n v="3239"/>
    <x v="8"/>
    <x v="0"/>
    <x v="4"/>
    <x v="1"/>
    <x v="0"/>
    <x v="0"/>
    <s v="Yes"/>
    <x v="0"/>
    <x v="0"/>
    <n v="20"/>
    <n v="5"/>
    <x v="0"/>
  </r>
  <r>
    <n v="3240"/>
    <x v="9"/>
    <x v="2"/>
    <x v="8"/>
    <x v="0"/>
    <x v="2"/>
    <x v="2"/>
    <s v="No"/>
    <x v="1"/>
    <x v="0"/>
    <n v="20"/>
    <n v="15"/>
    <x v="7"/>
  </r>
  <r>
    <n v="3241"/>
    <x v="10"/>
    <x v="1"/>
    <x v="9"/>
    <x v="1"/>
    <x v="1"/>
    <x v="0"/>
    <s v="No"/>
    <x v="1"/>
    <x v="1"/>
    <n v="0"/>
    <n v="1"/>
    <x v="4"/>
  </r>
  <r>
    <n v="3242"/>
    <x v="11"/>
    <x v="0"/>
    <x v="10"/>
    <x v="0"/>
    <x v="0"/>
    <x v="1"/>
    <s v="Yes"/>
    <x v="0"/>
    <x v="0"/>
    <n v="20"/>
    <n v="20"/>
    <x v="8"/>
  </r>
  <r>
    <n v="3243"/>
    <x v="12"/>
    <x v="2"/>
    <x v="11"/>
    <x v="1"/>
    <x v="2"/>
    <x v="0"/>
    <s v="No"/>
    <x v="1"/>
    <x v="0"/>
    <n v="20"/>
    <n v="10"/>
    <x v="2"/>
  </r>
  <r>
    <n v="3244"/>
    <x v="13"/>
    <x v="1"/>
    <x v="12"/>
    <x v="0"/>
    <x v="1"/>
    <x v="2"/>
    <s v="No"/>
    <x v="1"/>
    <x v="1"/>
    <n v="0"/>
    <n v="0"/>
    <x v="1"/>
  </r>
  <r>
    <n v="3245"/>
    <x v="14"/>
    <x v="0"/>
    <x v="13"/>
    <x v="1"/>
    <x v="0"/>
    <x v="0"/>
    <s v="Yes"/>
    <x v="0"/>
    <x v="0"/>
    <n v="20"/>
    <n v="8"/>
    <x v="9"/>
  </r>
  <r>
    <n v="3246"/>
    <x v="15"/>
    <x v="2"/>
    <x v="14"/>
    <x v="0"/>
    <x v="2"/>
    <x v="1"/>
    <s v="No"/>
    <x v="1"/>
    <x v="0"/>
    <n v="20"/>
    <n v="12"/>
    <x v="10"/>
  </r>
  <r>
    <n v="3247"/>
    <x v="16"/>
    <x v="1"/>
    <x v="15"/>
    <x v="1"/>
    <x v="1"/>
    <x v="0"/>
    <s v="No"/>
    <x v="1"/>
    <x v="1"/>
    <n v="0"/>
    <n v="2"/>
    <x v="11"/>
  </r>
  <r>
    <n v="3248"/>
    <x v="17"/>
    <x v="0"/>
    <x v="16"/>
    <x v="0"/>
    <x v="0"/>
    <x v="2"/>
    <s v="Yes"/>
    <x v="0"/>
    <x v="0"/>
    <n v="20"/>
    <n v="7"/>
    <x v="12"/>
  </r>
  <r>
    <n v="3249"/>
    <x v="18"/>
    <x v="2"/>
    <x v="17"/>
    <x v="1"/>
    <x v="2"/>
    <x v="0"/>
    <s v="No"/>
    <x v="1"/>
    <x v="0"/>
    <n v="20"/>
    <n v="5"/>
    <x v="13"/>
  </r>
  <r>
    <n v="3250"/>
    <x v="19"/>
    <x v="1"/>
    <x v="18"/>
    <x v="0"/>
    <x v="1"/>
    <x v="1"/>
    <s v="No"/>
    <x v="1"/>
    <x v="1"/>
    <n v="0"/>
    <n v="0"/>
    <x v="1"/>
  </r>
  <r>
    <n v="3251"/>
    <x v="20"/>
    <x v="0"/>
    <x v="19"/>
    <x v="1"/>
    <x v="0"/>
    <x v="0"/>
    <s v="Yes"/>
    <x v="0"/>
    <x v="0"/>
    <n v="20"/>
    <n v="3"/>
    <x v="3"/>
  </r>
  <r>
    <n v="3252"/>
    <x v="21"/>
    <x v="2"/>
    <x v="20"/>
    <x v="0"/>
    <x v="2"/>
    <x v="2"/>
    <s v="No"/>
    <x v="1"/>
    <x v="0"/>
    <n v="20"/>
    <n v="15"/>
    <x v="7"/>
  </r>
  <r>
    <n v="3253"/>
    <x v="22"/>
    <x v="1"/>
    <x v="21"/>
    <x v="1"/>
    <x v="1"/>
    <x v="0"/>
    <s v="No"/>
    <x v="1"/>
    <x v="1"/>
    <n v="0"/>
    <n v="1"/>
    <x v="4"/>
  </r>
  <r>
    <n v="3254"/>
    <x v="23"/>
    <x v="0"/>
    <x v="22"/>
    <x v="0"/>
    <x v="0"/>
    <x v="1"/>
    <s v="Yes"/>
    <x v="0"/>
    <x v="0"/>
    <n v="20"/>
    <n v="20"/>
    <x v="8"/>
  </r>
  <r>
    <n v="3255"/>
    <x v="24"/>
    <x v="2"/>
    <x v="23"/>
    <x v="1"/>
    <x v="2"/>
    <x v="0"/>
    <s v="No"/>
    <x v="1"/>
    <x v="0"/>
    <n v="20"/>
    <n v="10"/>
    <x v="2"/>
  </r>
  <r>
    <n v="3256"/>
    <x v="25"/>
    <x v="1"/>
    <x v="24"/>
    <x v="0"/>
    <x v="1"/>
    <x v="2"/>
    <s v="No"/>
    <x v="1"/>
    <x v="1"/>
    <n v="0"/>
    <n v="0"/>
    <x v="1"/>
  </r>
  <r>
    <n v="3257"/>
    <x v="26"/>
    <x v="0"/>
    <x v="25"/>
    <x v="1"/>
    <x v="0"/>
    <x v="0"/>
    <s v="Yes"/>
    <x v="0"/>
    <x v="0"/>
    <n v="20"/>
    <n v="5"/>
    <x v="0"/>
  </r>
  <r>
    <n v="3258"/>
    <x v="27"/>
    <x v="2"/>
    <x v="26"/>
    <x v="0"/>
    <x v="2"/>
    <x v="1"/>
    <s v="No"/>
    <x v="1"/>
    <x v="0"/>
    <n v="20"/>
    <n v="15"/>
    <x v="7"/>
  </r>
  <r>
    <n v="3259"/>
    <x v="28"/>
    <x v="1"/>
    <x v="27"/>
    <x v="1"/>
    <x v="1"/>
    <x v="0"/>
    <s v="No"/>
    <x v="1"/>
    <x v="1"/>
    <n v="0"/>
    <n v="1"/>
    <x v="4"/>
  </r>
  <r>
    <n v="3260"/>
    <x v="29"/>
    <x v="0"/>
    <x v="28"/>
    <x v="0"/>
    <x v="0"/>
    <x v="2"/>
    <s v="Yes"/>
    <x v="0"/>
    <x v="0"/>
    <n v="20"/>
    <n v="7"/>
    <x v="12"/>
  </r>
  <r>
    <n v="3261"/>
    <x v="30"/>
    <x v="2"/>
    <x v="29"/>
    <x v="1"/>
    <x v="2"/>
    <x v="0"/>
    <s v="No"/>
    <x v="1"/>
    <x v="0"/>
    <n v="20"/>
    <n v="10"/>
    <x v="2"/>
  </r>
  <r>
    <n v="3262"/>
    <x v="31"/>
    <x v="1"/>
    <x v="30"/>
    <x v="0"/>
    <x v="1"/>
    <x v="1"/>
    <s v="No"/>
    <x v="1"/>
    <x v="1"/>
    <n v="0"/>
    <n v="0"/>
    <x v="1"/>
  </r>
  <r>
    <n v="3263"/>
    <x v="32"/>
    <x v="0"/>
    <x v="31"/>
    <x v="1"/>
    <x v="0"/>
    <x v="0"/>
    <s v="Yes"/>
    <x v="0"/>
    <x v="0"/>
    <n v="20"/>
    <n v="3"/>
    <x v="3"/>
  </r>
  <r>
    <n v="3264"/>
    <x v="33"/>
    <x v="2"/>
    <x v="32"/>
    <x v="0"/>
    <x v="2"/>
    <x v="2"/>
    <s v="No"/>
    <x v="1"/>
    <x v="0"/>
    <n v="20"/>
    <n v="15"/>
    <x v="7"/>
  </r>
  <r>
    <n v="3265"/>
    <x v="34"/>
    <x v="1"/>
    <x v="33"/>
    <x v="1"/>
    <x v="1"/>
    <x v="0"/>
    <s v="No"/>
    <x v="1"/>
    <x v="1"/>
    <n v="0"/>
    <n v="1"/>
    <x v="4"/>
  </r>
  <r>
    <n v="3266"/>
    <x v="35"/>
    <x v="1"/>
    <x v="34"/>
    <x v="0"/>
    <x v="1"/>
    <x v="0"/>
    <s v="No"/>
    <x v="1"/>
    <x v="1"/>
    <n v="0"/>
    <n v="0"/>
    <x v="1"/>
  </r>
  <r>
    <n v="3267"/>
    <x v="36"/>
    <x v="0"/>
    <x v="35"/>
    <x v="1"/>
    <x v="0"/>
    <x v="2"/>
    <s v="Yes"/>
    <x v="0"/>
    <x v="0"/>
    <n v="20"/>
    <n v="7"/>
    <x v="12"/>
  </r>
  <r>
    <n v="3268"/>
    <x v="37"/>
    <x v="2"/>
    <x v="36"/>
    <x v="0"/>
    <x v="2"/>
    <x v="1"/>
    <s v="No"/>
    <x v="1"/>
    <x v="0"/>
    <n v="20"/>
    <n v="10"/>
    <x v="2"/>
  </r>
  <r>
    <n v="3269"/>
    <x v="38"/>
    <x v="1"/>
    <x v="37"/>
    <x v="1"/>
    <x v="1"/>
    <x v="2"/>
    <s v="No"/>
    <x v="1"/>
    <x v="1"/>
    <n v="0"/>
    <n v="1"/>
    <x v="4"/>
  </r>
  <r>
    <n v="3270"/>
    <x v="39"/>
    <x v="0"/>
    <x v="38"/>
    <x v="0"/>
    <x v="0"/>
    <x v="0"/>
    <s v="Yes"/>
    <x v="0"/>
    <x v="0"/>
    <n v="20"/>
    <n v="15"/>
    <x v="14"/>
  </r>
  <r>
    <n v="3271"/>
    <x v="40"/>
    <x v="2"/>
    <x v="39"/>
    <x v="1"/>
    <x v="2"/>
    <x v="0"/>
    <s v="No"/>
    <x v="1"/>
    <x v="0"/>
    <n v="20"/>
    <n v="5"/>
    <x v="13"/>
  </r>
  <r>
    <n v="3272"/>
    <x v="41"/>
    <x v="1"/>
    <x v="40"/>
    <x v="0"/>
    <x v="1"/>
    <x v="1"/>
    <s v="No"/>
    <x v="1"/>
    <x v="1"/>
    <n v="0"/>
    <n v="0"/>
    <x v="1"/>
  </r>
  <r>
    <n v="3273"/>
    <x v="42"/>
    <x v="0"/>
    <x v="41"/>
    <x v="1"/>
    <x v="0"/>
    <x v="2"/>
    <s v="Yes"/>
    <x v="0"/>
    <x v="0"/>
    <n v="20"/>
    <n v="20"/>
    <x v="8"/>
  </r>
  <r>
    <n v="3274"/>
    <x v="43"/>
    <x v="2"/>
    <x v="42"/>
    <x v="0"/>
    <x v="2"/>
    <x v="2"/>
    <s v="No"/>
    <x v="1"/>
    <x v="0"/>
    <n v="20"/>
    <n v="12"/>
    <x v="10"/>
  </r>
  <r>
    <n v="3275"/>
    <x v="44"/>
    <x v="1"/>
    <x v="43"/>
    <x v="1"/>
    <x v="1"/>
    <x v="0"/>
    <s v="No"/>
    <x v="1"/>
    <x v="1"/>
    <n v="0"/>
    <n v="2"/>
    <x v="11"/>
  </r>
  <r>
    <n v="3276"/>
    <x v="45"/>
    <x v="0"/>
    <x v="44"/>
    <x v="0"/>
    <x v="0"/>
    <x v="1"/>
    <s v="Yes"/>
    <x v="0"/>
    <x v="0"/>
    <n v="20"/>
    <n v="5"/>
    <x v="0"/>
  </r>
  <r>
    <n v="3277"/>
    <x v="46"/>
    <x v="2"/>
    <x v="45"/>
    <x v="1"/>
    <x v="2"/>
    <x v="0"/>
    <s v="No"/>
    <x v="1"/>
    <x v="0"/>
    <n v="20"/>
    <n v="10"/>
    <x v="2"/>
  </r>
  <r>
    <n v="3278"/>
    <x v="47"/>
    <x v="1"/>
    <x v="46"/>
    <x v="0"/>
    <x v="1"/>
    <x v="2"/>
    <s v="No"/>
    <x v="1"/>
    <x v="1"/>
    <n v="0"/>
    <n v="0"/>
    <x v="1"/>
  </r>
  <r>
    <n v="3279"/>
    <x v="48"/>
    <x v="0"/>
    <x v="47"/>
    <x v="1"/>
    <x v="0"/>
    <x v="0"/>
    <s v="Yes"/>
    <x v="0"/>
    <x v="0"/>
    <n v="20"/>
    <n v="3"/>
    <x v="3"/>
  </r>
  <r>
    <n v="3280"/>
    <x v="49"/>
    <x v="2"/>
    <x v="48"/>
    <x v="0"/>
    <x v="2"/>
    <x v="1"/>
    <s v="No"/>
    <x v="1"/>
    <x v="0"/>
    <n v="20"/>
    <n v="15"/>
    <x v="7"/>
  </r>
  <r>
    <n v="3281"/>
    <x v="50"/>
    <x v="1"/>
    <x v="49"/>
    <x v="1"/>
    <x v="1"/>
    <x v="0"/>
    <s v="No"/>
    <x v="1"/>
    <x v="1"/>
    <n v="0"/>
    <n v="1"/>
    <x v="4"/>
  </r>
  <r>
    <n v="3282"/>
    <x v="51"/>
    <x v="0"/>
    <x v="50"/>
    <x v="0"/>
    <x v="0"/>
    <x v="2"/>
    <s v="Yes"/>
    <x v="0"/>
    <x v="0"/>
    <n v="20"/>
    <n v="7"/>
    <x v="12"/>
  </r>
  <r>
    <n v="3283"/>
    <x v="52"/>
    <x v="2"/>
    <x v="51"/>
    <x v="1"/>
    <x v="2"/>
    <x v="0"/>
    <s v="No"/>
    <x v="1"/>
    <x v="0"/>
    <n v="20"/>
    <n v="10"/>
    <x v="2"/>
  </r>
  <r>
    <n v="3284"/>
    <x v="53"/>
    <x v="1"/>
    <x v="52"/>
    <x v="0"/>
    <x v="1"/>
    <x v="1"/>
    <s v="No"/>
    <x v="1"/>
    <x v="1"/>
    <n v="0"/>
    <n v="0"/>
    <x v="1"/>
  </r>
  <r>
    <n v="3285"/>
    <x v="54"/>
    <x v="0"/>
    <x v="53"/>
    <x v="1"/>
    <x v="0"/>
    <x v="0"/>
    <s v="Yes"/>
    <x v="0"/>
    <x v="0"/>
    <n v="20"/>
    <n v="20"/>
    <x v="8"/>
  </r>
  <r>
    <n v="3286"/>
    <x v="55"/>
    <x v="2"/>
    <x v="54"/>
    <x v="0"/>
    <x v="2"/>
    <x v="2"/>
    <s v="No"/>
    <x v="1"/>
    <x v="0"/>
    <n v="20"/>
    <n v="15"/>
    <x v="7"/>
  </r>
  <r>
    <n v="3287"/>
    <x v="56"/>
    <x v="1"/>
    <x v="55"/>
    <x v="1"/>
    <x v="1"/>
    <x v="0"/>
    <s v="No"/>
    <x v="1"/>
    <x v="1"/>
    <n v="0"/>
    <n v="1"/>
    <x v="4"/>
  </r>
  <r>
    <n v="3288"/>
    <x v="57"/>
    <x v="0"/>
    <x v="56"/>
    <x v="0"/>
    <x v="0"/>
    <x v="1"/>
    <s v="Yes"/>
    <x v="0"/>
    <x v="0"/>
    <n v="20"/>
    <n v="3"/>
    <x v="3"/>
  </r>
  <r>
    <n v="3289"/>
    <x v="58"/>
    <x v="2"/>
    <x v="57"/>
    <x v="1"/>
    <x v="2"/>
    <x v="0"/>
    <s v="No"/>
    <x v="1"/>
    <x v="0"/>
    <n v="20"/>
    <n v="10"/>
    <x v="2"/>
  </r>
  <r>
    <n v="3290"/>
    <x v="59"/>
    <x v="1"/>
    <x v="58"/>
    <x v="0"/>
    <x v="1"/>
    <x v="2"/>
    <s v="No"/>
    <x v="1"/>
    <x v="1"/>
    <n v="0"/>
    <n v="0"/>
    <x v="1"/>
  </r>
  <r>
    <n v="3291"/>
    <x v="60"/>
    <x v="0"/>
    <x v="59"/>
    <x v="1"/>
    <x v="0"/>
    <x v="0"/>
    <s v="Yes"/>
    <x v="0"/>
    <x v="0"/>
    <n v="20"/>
    <n v="5"/>
    <x v="0"/>
  </r>
  <r>
    <n v="3292"/>
    <x v="61"/>
    <x v="2"/>
    <x v="60"/>
    <x v="0"/>
    <x v="2"/>
    <x v="1"/>
    <s v="No"/>
    <x v="1"/>
    <x v="0"/>
    <n v="20"/>
    <n v="15"/>
    <x v="7"/>
  </r>
  <r>
    <n v="3293"/>
    <x v="62"/>
    <x v="1"/>
    <x v="61"/>
    <x v="1"/>
    <x v="1"/>
    <x v="0"/>
    <s v="No"/>
    <x v="1"/>
    <x v="1"/>
    <n v="0"/>
    <n v="1"/>
    <x v="4"/>
  </r>
  <r>
    <n v="3294"/>
    <x v="63"/>
    <x v="0"/>
    <x v="62"/>
    <x v="0"/>
    <x v="0"/>
    <x v="2"/>
    <s v="Yes"/>
    <x v="0"/>
    <x v="0"/>
    <n v="20"/>
    <n v="20"/>
    <x v="8"/>
  </r>
  <r>
    <n v="3295"/>
    <x v="64"/>
    <x v="2"/>
    <x v="63"/>
    <x v="1"/>
    <x v="2"/>
    <x v="0"/>
    <s v="No"/>
    <x v="1"/>
    <x v="0"/>
    <n v="20"/>
    <n v="5"/>
    <x v="13"/>
  </r>
  <r>
    <n v="3296"/>
    <x v="65"/>
    <x v="1"/>
    <x v="64"/>
    <x v="1"/>
    <x v="1"/>
    <x v="0"/>
    <s v="No"/>
    <x v="1"/>
    <x v="1"/>
    <n v="0"/>
    <n v="0"/>
    <x v="1"/>
  </r>
  <r>
    <n v="3297"/>
    <x v="66"/>
    <x v="0"/>
    <x v="65"/>
    <x v="0"/>
    <x v="0"/>
    <x v="2"/>
    <s v="Yes"/>
    <x v="0"/>
    <x v="0"/>
    <n v="20"/>
    <n v="7"/>
    <x v="12"/>
  </r>
  <r>
    <n v="3298"/>
    <x v="67"/>
    <x v="2"/>
    <x v="66"/>
    <x v="1"/>
    <x v="2"/>
    <x v="1"/>
    <s v="No"/>
    <x v="1"/>
    <x v="0"/>
    <n v="20"/>
    <n v="10"/>
    <x v="2"/>
  </r>
  <r>
    <n v="3299"/>
    <x v="68"/>
    <x v="1"/>
    <x v="67"/>
    <x v="0"/>
    <x v="1"/>
    <x v="2"/>
    <s v="No"/>
    <x v="1"/>
    <x v="1"/>
    <n v="0"/>
    <n v="1"/>
    <x v="4"/>
  </r>
  <r>
    <n v="3300"/>
    <x v="69"/>
    <x v="0"/>
    <x v="68"/>
    <x v="1"/>
    <x v="0"/>
    <x v="0"/>
    <s v="Yes"/>
    <x v="0"/>
    <x v="0"/>
    <n v="20"/>
    <n v="15"/>
    <x v="14"/>
  </r>
  <r>
    <n v="3301"/>
    <x v="70"/>
    <x v="2"/>
    <x v="69"/>
    <x v="0"/>
    <x v="2"/>
    <x v="0"/>
    <s v="No"/>
    <x v="1"/>
    <x v="0"/>
    <n v="20"/>
    <n v="5"/>
    <x v="13"/>
  </r>
  <r>
    <n v="3302"/>
    <x v="71"/>
    <x v="1"/>
    <x v="70"/>
    <x v="1"/>
    <x v="1"/>
    <x v="1"/>
    <s v="No"/>
    <x v="1"/>
    <x v="1"/>
    <n v="0"/>
    <n v="0"/>
    <x v="1"/>
  </r>
  <r>
    <n v="3303"/>
    <x v="72"/>
    <x v="0"/>
    <x v="71"/>
    <x v="0"/>
    <x v="0"/>
    <x v="2"/>
    <s v="Yes"/>
    <x v="0"/>
    <x v="0"/>
    <n v="20"/>
    <n v="20"/>
    <x v="8"/>
  </r>
  <r>
    <n v="3304"/>
    <x v="73"/>
    <x v="2"/>
    <x v="72"/>
    <x v="1"/>
    <x v="2"/>
    <x v="2"/>
    <s v="No"/>
    <x v="1"/>
    <x v="0"/>
    <n v="20"/>
    <n v="12"/>
    <x v="10"/>
  </r>
  <r>
    <n v="3305"/>
    <x v="74"/>
    <x v="1"/>
    <x v="73"/>
    <x v="0"/>
    <x v="1"/>
    <x v="0"/>
    <s v="No"/>
    <x v="1"/>
    <x v="1"/>
    <n v="0"/>
    <n v="2"/>
    <x v="11"/>
  </r>
  <r>
    <n v="3306"/>
    <x v="75"/>
    <x v="0"/>
    <x v="74"/>
    <x v="1"/>
    <x v="0"/>
    <x v="1"/>
    <s v="Yes"/>
    <x v="0"/>
    <x v="0"/>
    <n v="20"/>
    <n v="5"/>
    <x v="0"/>
  </r>
  <r>
    <n v="3307"/>
    <x v="76"/>
    <x v="2"/>
    <x v="75"/>
    <x v="0"/>
    <x v="2"/>
    <x v="0"/>
    <s v="No"/>
    <x v="1"/>
    <x v="0"/>
    <n v="20"/>
    <n v="10"/>
    <x v="2"/>
  </r>
  <r>
    <n v="3308"/>
    <x v="77"/>
    <x v="1"/>
    <x v="76"/>
    <x v="1"/>
    <x v="1"/>
    <x v="2"/>
    <s v="No"/>
    <x v="1"/>
    <x v="1"/>
    <n v="0"/>
    <n v="0"/>
    <x v="1"/>
  </r>
  <r>
    <n v="3309"/>
    <x v="78"/>
    <x v="0"/>
    <x v="77"/>
    <x v="0"/>
    <x v="0"/>
    <x v="0"/>
    <s v="Yes"/>
    <x v="0"/>
    <x v="0"/>
    <n v="20"/>
    <n v="3"/>
    <x v="3"/>
  </r>
  <r>
    <n v="3310"/>
    <x v="79"/>
    <x v="2"/>
    <x v="78"/>
    <x v="1"/>
    <x v="2"/>
    <x v="1"/>
    <s v="No"/>
    <x v="1"/>
    <x v="0"/>
    <n v="20"/>
    <n v="15"/>
    <x v="7"/>
  </r>
  <r>
    <n v="3311"/>
    <x v="80"/>
    <x v="1"/>
    <x v="79"/>
    <x v="0"/>
    <x v="1"/>
    <x v="0"/>
    <s v="No"/>
    <x v="1"/>
    <x v="1"/>
    <n v="0"/>
    <n v="1"/>
    <x v="4"/>
  </r>
  <r>
    <n v="3312"/>
    <x v="81"/>
    <x v="0"/>
    <x v="80"/>
    <x v="1"/>
    <x v="0"/>
    <x v="2"/>
    <s v="Yes"/>
    <x v="0"/>
    <x v="0"/>
    <n v="20"/>
    <n v="7"/>
    <x v="12"/>
  </r>
  <r>
    <n v="3313"/>
    <x v="82"/>
    <x v="2"/>
    <x v="81"/>
    <x v="0"/>
    <x v="2"/>
    <x v="0"/>
    <s v="No"/>
    <x v="1"/>
    <x v="0"/>
    <n v="20"/>
    <n v="10"/>
    <x v="2"/>
  </r>
  <r>
    <n v="3314"/>
    <x v="83"/>
    <x v="1"/>
    <x v="82"/>
    <x v="1"/>
    <x v="1"/>
    <x v="1"/>
    <s v="No"/>
    <x v="1"/>
    <x v="1"/>
    <n v="0"/>
    <n v="0"/>
    <x v="1"/>
  </r>
  <r>
    <n v="3315"/>
    <x v="84"/>
    <x v="0"/>
    <x v="83"/>
    <x v="0"/>
    <x v="0"/>
    <x v="0"/>
    <s v="Yes"/>
    <x v="0"/>
    <x v="0"/>
    <n v="20"/>
    <n v="20"/>
    <x v="8"/>
  </r>
  <r>
    <n v="3316"/>
    <x v="85"/>
    <x v="2"/>
    <x v="84"/>
    <x v="1"/>
    <x v="2"/>
    <x v="2"/>
    <s v="No"/>
    <x v="1"/>
    <x v="0"/>
    <n v="20"/>
    <n v="15"/>
    <x v="7"/>
  </r>
  <r>
    <n v="3317"/>
    <x v="86"/>
    <x v="1"/>
    <x v="85"/>
    <x v="0"/>
    <x v="1"/>
    <x v="0"/>
    <s v="No"/>
    <x v="1"/>
    <x v="1"/>
    <n v="0"/>
    <n v="1"/>
    <x v="4"/>
  </r>
  <r>
    <n v="3318"/>
    <x v="87"/>
    <x v="0"/>
    <x v="86"/>
    <x v="1"/>
    <x v="0"/>
    <x v="1"/>
    <s v="Yes"/>
    <x v="0"/>
    <x v="0"/>
    <n v="20"/>
    <n v="3"/>
    <x v="3"/>
  </r>
  <r>
    <n v="3319"/>
    <x v="88"/>
    <x v="2"/>
    <x v="87"/>
    <x v="0"/>
    <x v="2"/>
    <x v="0"/>
    <s v="No"/>
    <x v="1"/>
    <x v="0"/>
    <n v="20"/>
    <n v="10"/>
    <x v="2"/>
  </r>
  <r>
    <n v="3320"/>
    <x v="89"/>
    <x v="1"/>
    <x v="88"/>
    <x v="1"/>
    <x v="1"/>
    <x v="2"/>
    <s v="No"/>
    <x v="1"/>
    <x v="1"/>
    <n v="0"/>
    <n v="0"/>
    <x v="1"/>
  </r>
  <r>
    <n v="3321"/>
    <x v="90"/>
    <x v="0"/>
    <x v="89"/>
    <x v="0"/>
    <x v="0"/>
    <x v="0"/>
    <s v="Yes"/>
    <x v="0"/>
    <x v="0"/>
    <n v="20"/>
    <n v="5"/>
    <x v="0"/>
  </r>
  <r>
    <n v="3322"/>
    <x v="91"/>
    <x v="2"/>
    <x v="90"/>
    <x v="1"/>
    <x v="2"/>
    <x v="1"/>
    <s v="No"/>
    <x v="1"/>
    <x v="0"/>
    <n v="20"/>
    <n v="15"/>
    <x v="7"/>
  </r>
  <r>
    <n v="3323"/>
    <x v="92"/>
    <x v="1"/>
    <x v="91"/>
    <x v="0"/>
    <x v="1"/>
    <x v="0"/>
    <s v="No"/>
    <x v="1"/>
    <x v="1"/>
    <n v="0"/>
    <n v="1"/>
    <x v="4"/>
  </r>
  <r>
    <n v="3324"/>
    <x v="93"/>
    <x v="0"/>
    <x v="92"/>
    <x v="1"/>
    <x v="0"/>
    <x v="2"/>
    <s v="Yes"/>
    <x v="0"/>
    <x v="0"/>
    <n v="20"/>
    <n v="20"/>
    <x v="8"/>
  </r>
  <r>
    <n v="3325"/>
    <x v="94"/>
    <x v="2"/>
    <x v="93"/>
    <x v="0"/>
    <x v="2"/>
    <x v="2"/>
    <s v="No"/>
    <x v="1"/>
    <x v="0"/>
    <n v="20"/>
    <n v="15"/>
    <x v="7"/>
  </r>
  <r>
    <n v="3326"/>
    <x v="95"/>
    <x v="1"/>
    <x v="94"/>
    <x v="1"/>
    <x v="1"/>
    <x v="1"/>
    <s v="No"/>
    <x v="1"/>
    <x v="1"/>
    <n v="0"/>
    <n v="0"/>
    <x v="1"/>
  </r>
  <r>
    <n v="3327"/>
    <x v="96"/>
    <x v="0"/>
    <x v="95"/>
    <x v="0"/>
    <x v="0"/>
    <x v="0"/>
    <s v="Yes"/>
    <x v="0"/>
    <x v="0"/>
    <n v="20"/>
    <n v="7"/>
    <x v="12"/>
  </r>
  <r>
    <n v="3328"/>
    <x v="97"/>
    <x v="2"/>
    <x v="96"/>
    <x v="1"/>
    <x v="2"/>
    <x v="1"/>
    <s v="No"/>
    <x v="1"/>
    <x v="0"/>
    <n v="20"/>
    <n v="10"/>
    <x v="2"/>
  </r>
  <r>
    <n v="3329"/>
    <x v="98"/>
    <x v="1"/>
    <x v="97"/>
    <x v="0"/>
    <x v="1"/>
    <x v="2"/>
    <s v="No"/>
    <x v="1"/>
    <x v="1"/>
    <n v="0"/>
    <n v="1"/>
    <x v="4"/>
  </r>
  <r>
    <n v="3330"/>
    <x v="99"/>
    <x v="0"/>
    <x v="98"/>
    <x v="1"/>
    <x v="0"/>
    <x v="0"/>
    <s v="Yes"/>
    <x v="0"/>
    <x v="0"/>
    <n v="20"/>
    <n v="15"/>
    <x v="14"/>
  </r>
  <r>
    <n v="3331"/>
    <x v="100"/>
    <x v="2"/>
    <x v="99"/>
    <x v="0"/>
    <x v="2"/>
    <x v="0"/>
    <s v="No"/>
    <x v="1"/>
    <x v="0"/>
    <n v="20"/>
    <n v="5"/>
    <x v="13"/>
  </r>
  <r>
    <n v="3332"/>
    <x v="101"/>
    <x v="1"/>
    <x v="100"/>
    <x v="1"/>
    <x v="1"/>
    <x v="1"/>
    <s v="No"/>
    <x v="1"/>
    <x v="1"/>
    <n v="0"/>
    <n v="0"/>
    <x v="1"/>
  </r>
  <r>
    <n v="3333"/>
    <x v="102"/>
    <x v="0"/>
    <x v="101"/>
    <x v="0"/>
    <x v="0"/>
    <x v="2"/>
    <s v="Yes"/>
    <x v="0"/>
    <x v="0"/>
    <n v="20"/>
    <n v="20"/>
    <x v="8"/>
  </r>
  <r>
    <n v="3334"/>
    <x v="103"/>
    <x v="2"/>
    <x v="102"/>
    <x v="1"/>
    <x v="2"/>
    <x v="2"/>
    <s v="No"/>
    <x v="1"/>
    <x v="0"/>
    <n v="20"/>
    <n v="12"/>
    <x v="10"/>
  </r>
  <r>
    <n v="3335"/>
    <x v="104"/>
    <x v="1"/>
    <x v="103"/>
    <x v="0"/>
    <x v="1"/>
    <x v="0"/>
    <s v="No"/>
    <x v="1"/>
    <x v="1"/>
    <n v="0"/>
    <n v="2"/>
    <x v="11"/>
  </r>
  <r>
    <n v="3336"/>
    <x v="105"/>
    <x v="1"/>
    <x v="104"/>
    <x v="0"/>
    <x v="1"/>
    <x v="0"/>
    <s v="No"/>
    <x v="1"/>
    <x v="1"/>
    <n v="0"/>
    <n v="0"/>
    <x v="1"/>
  </r>
  <r>
    <n v="3337"/>
    <x v="106"/>
    <x v="0"/>
    <x v="105"/>
    <x v="1"/>
    <x v="0"/>
    <x v="2"/>
    <s v="Yes"/>
    <x v="0"/>
    <x v="0"/>
    <n v="20"/>
    <n v="7"/>
    <x v="12"/>
  </r>
  <r>
    <n v="3338"/>
    <x v="107"/>
    <x v="2"/>
    <x v="106"/>
    <x v="0"/>
    <x v="2"/>
    <x v="1"/>
    <s v="No"/>
    <x v="1"/>
    <x v="0"/>
    <n v="20"/>
    <n v="10"/>
    <x v="2"/>
  </r>
  <r>
    <n v="3339"/>
    <x v="108"/>
    <x v="1"/>
    <x v="107"/>
    <x v="1"/>
    <x v="1"/>
    <x v="2"/>
    <s v="No"/>
    <x v="1"/>
    <x v="1"/>
    <n v="0"/>
    <n v="1"/>
    <x v="4"/>
  </r>
  <r>
    <n v="3340"/>
    <x v="109"/>
    <x v="0"/>
    <x v="108"/>
    <x v="0"/>
    <x v="0"/>
    <x v="0"/>
    <s v="Yes"/>
    <x v="0"/>
    <x v="0"/>
    <n v="20"/>
    <n v="15"/>
    <x v="14"/>
  </r>
  <r>
    <n v="3341"/>
    <x v="110"/>
    <x v="2"/>
    <x v="109"/>
    <x v="1"/>
    <x v="2"/>
    <x v="0"/>
    <s v="No"/>
    <x v="1"/>
    <x v="0"/>
    <n v="20"/>
    <n v="5"/>
    <x v="13"/>
  </r>
  <r>
    <n v="3342"/>
    <x v="111"/>
    <x v="1"/>
    <x v="110"/>
    <x v="0"/>
    <x v="1"/>
    <x v="1"/>
    <s v="No"/>
    <x v="1"/>
    <x v="1"/>
    <n v="0"/>
    <n v="0"/>
    <x v="1"/>
  </r>
  <r>
    <n v="3343"/>
    <x v="112"/>
    <x v="0"/>
    <x v="111"/>
    <x v="1"/>
    <x v="0"/>
    <x v="2"/>
    <s v="Yes"/>
    <x v="0"/>
    <x v="0"/>
    <n v="20"/>
    <n v="20"/>
    <x v="8"/>
  </r>
  <r>
    <n v="3344"/>
    <x v="113"/>
    <x v="2"/>
    <x v="112"/>
    <x v="0"/>
    <x v="2"/>
    <x v="2"/>
    <s v="No"/>
    <x v="1"/>
    <x v="0"/>
    <n v="20"/>
    <n v="12"/>
    <x v="10"/>
  </r>
  <r>
    <n v="3345"/>
    <x v="114"/>
    <x v="1"/>
    <x v="113"/>
    <x v="1"/>
    <x v="1"/>
    <x v="0"/>
    <s v="No"/>
    <x v="1"/>
    <x v="1"/>
    <n v="0"/>
    <n v="2"/>
    <x v="11"/>
  </r>
  <r>
    <n v="3346"/>
    <x v="115"/>
    <x v="0"/>
    <x v="114"/>
    <x v="0"/>
    <x v="0"/>
    <x v="1"/>
    <s v="Yes"/>
    <x v="0"/>
    <x v="0"/>
    <n v="20"/>
    <n v="5"/>
    <x v="0"/>
  </r>
  <r>
    <n v="3347"/>
    <x v="116"/>
    <x v="2"/>
    <x v="115"/>
    <x v="1"/>
    <x v="2"/>
    <x v="0"/>
    <s v="No"/>
    <x v="1"/>
    <x v="0"/>
    <n v="20"/>
    <n v="10"/>
    <x v="2"/>
  </r>
  <r>
    <n v="3348"/>
    <x v="117"/>
    <x v="1"/>
    <x v="116"/>
    <x v="0"/>
    <x v="1"/>
    <x v="2"/>
    <s v="No"/>
    <x v="1"/>
    <x v="1"/>
    <n v="0"/>
    <n v="0"/>
    <x v="1"/>
  </r>
  <r>
    <n v="3349"/>
    <x v="93"/>
    <x v="0"/>
    <x v="117"/>
    <x v="1"/>
    <x v="0"/>
    <x v="0"/>
    <s v="Yes"/>
    <x v="0"/>
    <x v="0"/>
    <n v="20"/>
    <n v="3"/>
    <x v="3"/>
  </r>
  <r>
    <n v="3350"/>
    <x v="118"/>
    <x v="2"/>
    <x v="118"/>
    <x v="0"/>
    <x v="2"/>
    <x v="1"/>
    <s v="No"/>
    <x v="1"/>
    <x v="0"/>
    <n v="20"/>
    <n v="15"/>
    <x v="7"/>
  </r>
  <r>
    <n v="3351"/>
    <x v="119"/>
    <x v="1"/>
    <x v="119"/>
    <x v="1"/>
    <x v="1"/>
    <x v="0"/>
    <s v="No"/>
    <x v="1"/>
    <x v="1"/>
    <n v="0"/>
    <n v="1"/>
    <x v="4"/>
  </r>
  <r>
    <n v="3352"/>
    <x v="120"/>
    <x v="0"/>
    <x v="120"/>
    <x v="0"/>
    <x v="0"/>
    <x v="2"/>
    <s v="Yes"/>
    <x v="0"/>
    <x v="0"/>
    <n v="20"/>
    <n v="7"/>
    <x v="12"/>
  </r>
  <r>
    <n v="3353"/>
    <x v="121"/>
    <x v="2"/>
    <x v="121"/>
    <x v="1"/>
    <x v="2"/>
    <x v="0"/>
    <s v="No"/>
    <x v="1"/>
    <x v="0"/>
    <n v="20"/>
    <n v="10"/>
    <x v="2"/>
  </r>
  <r>
    <n v="3354"/>
    <x v="122"/>
    <x v="1"/>
    <x v="122"/>
    <x v="0"/>
    <x v="1"/>
    <x v="1"/>
    <s v="No"/>
    <x v="1"/>
    <x v="1"/>
    <n v="0"/>
    <n v="0"/>
    <x v="1"/>
  </r>
  <r>
    <n v="3355"/>
    <x v="123"/>
    <x v="0"/>
    <x v="123"/>
    <x v="1"/>
    <x v="0"/>
    <x v="0"/>
    <s v="Yes"/>
    <x v="0"/>
    <x v="0"/>
    <n v="20"/>
    <n v="20"/>
    <x v="8"/>
  </r>
  <r>
    <n v="3356"/>
    <x v="124"/>
    <x v="2"/>
    <x v="124"/>
    <x v="0"/>
    <x v="2"/>
    <x v="2"/>
    <s v="No"/>
    <x v="1"/>
    <x v="0"/>
    <n v="20"/>
    <n v="15"/>
    <x v="7"/>
  </r>
  <r>
    <n v="3357"/>
    <x v="125"/>
    <x v="1"/>
    <x v="125"/>
    <x v="1"/>
    <x v="1"/>
    <x v="0"/>
    <s v="No"/>
    <x v="1"/>
    <x v="1"/>
    <n v="0"/>
    <n v="1"/>
    <x v="4"/>
  </r>
  <r>
    <n v="3358"/>
    <x v="126"/>
    <x v="0"/>
    <x v="126"/>
    <x v="0"/>
    <x v="0"/>
    <x v="1"/>
    <s v="Yes"/>
    <x v="0"/>
    <x v="0"/>
    <n v="20"/>
    <n v="3"/>
    <x v="3"/>
  </r>
  <r>
    <n v="3359"/>
    <x v="127"/>
    <x v="2"/>
    <x v="127"/>
    <x v="1"/>
    <x v="2"/>
    <x v="0"/>
    <s v="No"/>
    <x v="1"/>
    <x v="0"/>
    <n v="20"/>
    <n v="10"/>
    <x v="2"/>
  </r>
  <r>
    <n v="3360"/>
    <x v="128"/>
    <x v="1"/>
    <x v="128"/>
    <x v="0"/>
    <x v="1"/>
    <x v="2"/>
    <s v="No"/>
    <x v="1"/>
    <x v="1"/>
    <n v="0"/>
    <n v="0"/>
    <x v="1"/>
  </r>
  <r>
    <n v="3361"/>
    <x v="129"/>
    <x v="0"/>
    <x v="129"/>
    <x v="1"/>
    <x v="0"/>
    <x v="0"/>
    <s v="Yes"/>
    <x v="0"/>
    <x v="0"/>
    <n v="20"/>
    <n v="15"/>
    <x v="14"/>
  </r>
  <r>
    <n v="3362"/>
    <x v="130"/>
    <x v="2"/>
    <x v="130"/>
    <x v="0"/>
    <x v="2"/>
    <x v="1"/>
    <s v="No"/>
    <x v="1"/>
    <x v="0"/>
    <n v="20"/>
    <n v="15"/>
    <x v="7"/>
  </r>
  <r>
    <n v="3363"/>
    <x v="131"/>
    <x v="1"/>
    <x v="131"/>
    <x v="1"/>
    <x v="1"/>
    <x v="0"/>
    <s v="No"/>
    <x v="1"/>
    <x v="1"/>
    <n v="0"/>
    <n v="1"/>
    <x v="4"/>
  </r>
  <r>
    <n v="3364"/>
    <x v="132"/>
    <x v="0"/>
    <x v="132"/>
    <x v="0"/>
    <x v="0"/>
    <x v="2"/>
    <s v="Yes"/>
    <x v="0"/>
    <x v="0"/>
    <n v="20"/>
    <n v="7"/>
    <x v="12"/>
  </r>
  <r>
    <n v="3365"/>
    <x v="133"/>
    <x v="2"/>
    <x v="133"/>
    <x v="1"/>
    <x v="2"/>
    <x v="0"/>
    <s v="No"/>
    <x v="1"/>
    <x v="0"/>
    <n v="20"/>
    <n v="10"/>
    <x v="2"/>
  </r>
  <r>
    <n v="3366"/>
    <x v="134"/>
    <x v="1"/>
    <x v="134"/>
    <x v="0"/>
    <x v="1"/>
    <x v="0"/>
    <s v="No"/>
    <x v="1"/>
    <x v="1"/>
    <n v="0"/>
    <n v="0"/>
    <x v="1"/>
  </r>
  <r>
    <n v="3367"/>
    <x v="135"/>
    <x v="0"/>
    <x v="135"/>
    <x v="1"/>
    <x v="0"/>
    <x v="2"/>
    <s v="Yes"/>
    <x v="0"/>
    <x v="0"/>
    <n v="20"/>
    <n v="7"/>
    <x v="12"/>
  </r>
  <r>
    <n v="3368"/>
    <x v="136"/>
    <x v="2"/>
    <x v="136"/>
    <x v="0"/>
    <x v="2"/>
    <x v="1"/>
    <s v="No"/>
    <x v="1"/>
    <x v="0"/>
    <n v="20"/>
    <n v="10"/>
    <x v="2"/>
  </r>
  <r>
    <n v="3369"/>
    <x v="137"/>
    <x v="1"/>
    <x v="137"/>
    <x v="1"/>
    <x v="1"/>
    <x v="2"/>
    <s v="No"/>
    <x v="1"/>
    <x v="1"/>
    <n v="0"/>
    <n v="1"/>
    <x v="4"/>
  </r>
  <r>
    <n v="3370"/>
    <x v="138"/>
    <x v="0"/>
    <x v="138"/>
    <x v="0"/>
    <x v="0"/>
    <x v="0"/>
    <s v="Yes"/>
    <x v="0"/>
    <x v="0"/>
    <n v="20"/>
    <n v="15"/>
    <x v="14"/>
  </r>
  <r>
    <n v="3371"/>
    <x v="139"/>
    <x v="2"/>
    <x v="139"/>
    <x v="1"/>
    <x v="2"/>
    <x v="0"/>
    <s v="No"/>
    <x v="1"/>
    <x v="0"/>
    <n v="20"/>
    <n v="5"/>
    <x v="13"/>
  </r>
  <r>
    <n v="3372"/>
    <x v="140"/>
    <x v="1"/>
    <x v="140"/>
    <x v="0"/>
    <x v="1"/>
    <x v="1"/>
    <s v="No"/>
    <x v="1"/>
    <x v="1"/>
    <n v="0"/>
    <n v="0"/>
    <x v="1"/>
  </r>
  <r>
    <n v="3373"/>
    <x v="141"/>
    <x v="0"/>
    <x v="141"/>
    <x v="1"/>
    <x v="0"/>
    <x v="2"/>
    <s v="Yes"/>
    <x v="0"/>
    <x v="0"/>
    <n v="20"/>
    <n v="20"/>
    <x v="8"/>
  </r>
  <r>
    <n v="3374"/>
    <x v="142"/>
    <x v="2"/>
    <x v="142"/>
    <x v="0"/>
    <x v="2"/>
    <x v="2"/>
    <s v="No"/>
    <x v="1"/>
    <x v="0"/>
    <n v="20"/>
    <n v="12"/>
    <x v="10"/>
  </r>
  <r>
    <n v="3375"/>
    <x v="143"/>
    <x v="1"/>
    <x v="143"/>
    <x v="1"/>
    <x v="1"/>
    <x v="0"/>
    <s v="No"/>
    <x v="1"/>
    <x v="1"/>
    <n v="0"/>
    <n v="2"/>
    <x v="11"/>
  </r>
  <r>
    <n v="3376"/>
    <x v="144"/>
    <x v="0"/>
    <x v="144"/>
    <x v="0"/>
    <x v="0"/>
    <x v="1"/>
    <s v="Yes"/>
    <x v="0"/>
    <x v="0"/>
    <n v="20"/>
    <n v="5"/>
    <x v="0"/>
  </r>
  <r>
    <n v="3377"/>
    <x v="145"/>
    <x v="2"/>
    <x v="145"/>
    <x v="1"/>
    <x v="2"/>
    <x v="0"/>
    <s v="No"/>
    <x v="1"/>
    <x v="0"/>
    <n v="20"/>
    <n v="10"/>
    <x v="2"/>
  </r>
  <r>
    <n v="3378"/>
    <x v="146"/>
    <x v="1"/>
    <x v="146"/>
    <x v="0"/>
    <x v="1"/>
    <x v="2"/>
    <s v="No"/>
    <x v="1"/>
    <x v="1"/>
    <n v="0"/>
    <n v="0"/>
    <x v="1"/>
  </r>
  <r>
    <n v="3379"/>
    <x v="147"/>
    <x v="0"/>
    <x v="147"/>
    <x v="1"/>
    <x v="0"/>
    <x v="0"/>
    <s v="Yes"/>
    <x v="0"/>
    <x v="0"/>
    <n v="20"/>
    <n v="3"/>
    <x v="3"/>
  </r>
  <r>
    <n v="3380"/>
    <x v="148"/>
    <x v="2"/>
    <x v="148"/>
    <x v="0"/>
    <x v="2"/>
    <x v="1"/>
    <s v="No"/>
    <x v="1"/>
    <x v="0"/>
    <n v="20"/>
    <n v="15"/>
    <x v="7"/>
  </r>
  <r>
    <n v="3381"/>
    <x v="149"/>
    <x v="1"/>
    <x v="149"/>
    <x v="1"/>
    <x v="1"/>
    <x v="0"/>
    <s v="No"/>
    <x v="1"/>
    <x v="1"/>
    <n v="0"/>
    <n v="1"/>
    <x v="4"/>
  </r>
  <r>
    <n v="3382"/>
    <x v="150"/>
    <x v="0"/>
    <x v="150"/>
    <x v="0"/>
    <x v="0"/>
    <x v="2"/>
    <s v="Yes"/>
    <x v="0"/>
    <x v="0"/>
    <n v="20"/>
    <n v="7"/>
    <x v="12"/>
  </r>
  <r>
    <n v="3383"/>
    <x v="151"/>
    <x v="2"/>
    <x v="151"/>
    <x v="1"/>
    <x v="2"/>
    <x v="0"/>
    <s v="No"/>
    <x v="1"/>
    <x v="0"/>
    <n v="20"/>
    <n v="10"/>
    <x v="2"/>
  </r>
  <r>
    <n v="3384"/>
    <x v="152"/>
    <x v="1"/>
    <x v="152"/>
    <x v="0"/>
    <x v="1"/>
    <x v="1"/>
    <s v="No"/>
    <x v="1"/>
    <x v="1"/>
    <n v="0"/>
    <n v="0"/>
    <x v="1"/>
  </r>
  <r>
    <n v="3385"/>
    <x v="153"/>
    <x v="0"/>
    <x v="153"/>
    <x v="1"/>
    <x v="0"/>
    <x v="0"/>
    <s v="Yes"/>
    <x v="0"/>
    <x v="0"/>
    <n v="20"/>
    <n v="20"/>
    <x v="8"/>
  </r>
  <r>
    <n v="3386"/>
    <x v="154"/>
    <x v="2"/>
    <x v="154"/>
    <x v="0"/>
    <x v="2"/>
    <x v="2"/>
    <s v="No"/>
    <x v="1"/>
    <x v="0"/>
    <n v="20"/>
    <n v="15"/>
    <x v="7"/>
  </r>
  <r>
    <n v="3387"/>
    <x v="155"/>
    <x v="1"/>
    <x v="155"/>
    <x v="1"/>
    <x v="1"/>
    <x v="0"/>
    <s v="No"/>
    <x v="1"/>
    <x v="1"/>
    <n v="0"/>
    <n v="1"/>
    <x v="4"/>
  </r>
  <r>
    <n v="3388"/>
    <x v="156"/>
    <x v="0"/>
    <x v="156"/>
    <x v="0"/>
    <x v="0"/>
    <x v="1"/>
    <s v="Yes"/>
    <x v="0"/>
    <x v="0"/>
    <n v="20"/>
    <n v="3"/>
    <x v="3"/>
  </r>
  <r>
    <n v="3389"/>
    <x v="157"/>
    <x v="2"/>
    <x v="157"/>
    <x v="1"/>
    <x v="2"/>
    <x v="0"/>
    <s v="No"/>
    <x v="1"/>
    <x v="0"/>
    <n v="20"/>
    <n v="10"/>
    <x v="2"/>
  </r>
  <r>
    <n v="3390"/>
    <x v="158"/>
    <x v="1"/>
    <x v="158"/>
    <x v="0"/>
    <x v="1"/>
    <x v="2"/>
    <s v="No"/>
    <x v="1"/>
    <x v="1"/>
    <n v="0"/>
    <n v="0"/>
    <x v="1"/>
  </r>
  <r>
    <n v="3391"/>
    <x v="58"/>
    <x v="0"/>
    <x v="159"/>
    <x v="1"/>
    <x v="0"/>
    <x v="0"/>
    <s v="Yes"/>
    <x v="0"/>
    <x v="0"/>
    <n v="20"/>
    <n v="15"/>
    <x v="14"/>
  </r>
  <r>
    <n v="3392"/>
    <x v="159"/>
    <x v="2"/>
    <x v="160"/>
    <x v="0"/>
    <x v="2"/>
    <x v="1"/>
    <s v="No"/>
    <x v="1"/>
    <x v="0"/>
    <n v="20"/>
    <n v="15"/>
    <x v="7"/>
  </r>
  <r>
    <n v="3393"/>
    <x v="160"/>
    <x v="1"/>
    <x v="161"/>
    <x v="1"/>
    <x v="1"/>
    <x v="0"/>
    <s v="No"/>
    <x v="1"/>
    <x v="1"/>
    <n v="0"/>
    <n v="1"/>
    <x v="4"/>
  </r>
  <r>
    <n v="3394"/>
    <x v="161"/>
    <x v="0"/>
    <x v="162"/>
    <x v="0"/>
    <x v="0"/>
    <x v="2"/>
    <s v="Yes"/>
    <x v="0"/>
    <x v="0"/>
    <n v="20"/>
    <n v="7"/>
    <x v="12"/>
  </r>
  <r>
    <n v="3395"/>
    <x v="162"/>
    <x v="2"/>
    <x v="163"/>
    <x v="1"/>
    <x v="2"/>
    <x v="0"/>
    <s v="No"/>
    <x v="1"/>
    <x v="0"/>
    <n v="20"/>
    <n v="10"/>
    <x v="2"/>
  </r>
  <r>
    <n v="3396"/>
    <x v="163"/>
    <x v="1"/>
    <x v="164"/>
    <x v="0"/>
    <x v="1"/>
    <x v="1"/>
    <s v="No"/>
    <x v="1"/>
    <x v="1"/>
    <n v="0"/>
    <n v="0"/>
    <x v="1"/>
  </r>
  <r>
    <n v="3397"/>
    <x v="90"/>
    <x v="0"/>
    <x v="165"/>
    <x v="1"/>
    <x v="0"/>
    <x v="0"/>
    <s v="Yes"/>
    <x v="0"/>
    <x v="0"/>
    <n v="20"/>
    <n v="20"/>
    <x v="8"/>
  </r>
  <r>
    <n v="3398"/>
    <x v="164"/>
    <x v="2"/>
    <x v="166"/>
    <x v="0"/>
    <x v="2"/>
    <x v="2"/>
    <s v="No"/>
    <x v="1"/>
    <x v="0"/>
    <n v="20"/>
    <n v="15"/>
    <x v="7"/>
  </r>
  <r>
    <n v="3399"/>
    <x v="165"/>
    <x v="1"/>
    <x v="167"/>
    <x v="1"/>
    <x v="1"/>
    <x v="0"/>
    <s v="No"/>
    <x v="1"/>
    <x v="1"/>
    <n v="0"/>
    <n v="1"/>
    <x v="4"/>
  </r>
  <r>
    <n v="3400"/>
    <x v="166"/>
    <x v="0"/>
    <x v="168"/>
    <x v="0"/>
    <x v="0"/>
    <x v="1"/>
    <s v="Yes"/>
    <x v="0"/>
    <x v="0"/>
    <n v="20"/>
    <n v="5"/>
    <x v="0"/>
  </r>
  <r>
    <n v="3401"/>
    <x v="167"/>
    <x v="2"/>
    <x v="169"/>
    <x v="1"/>
    <x v="2"/>
    <x v="0"/>
    <s v="No"/>
    <x v="1"/>
    <x v="0"/>
    <n v="20"/>
    <n v="10"/>
    <x v="2"/>
  </r>
  <r>
    <n v="3402"/>
    <x v="168"/>
    <x v="1"/>
    <x v="170"/>
    <x v="0"/>
    <x v="1"/>
    <x v="2"/>
    <s v="No"/>
    <x v="1"/>
    <x v="1"/>
    <n v="0"/>
    <n v="0"/>
    <x v="1"/>
  </r>
  <r>
    <n v="3403"/>
    <x v="169"/>
    <x v="0"/>
    <x v="171"/>
    <x v="1"/>
    <x v="0"/>
    <x v="0"/>
    <s v="Yes"/>
    <x v="0"/>
    <x v="0"/>
    <n v="20"/>
    <n v="3"/>
    <x v="3"/>
  </r>
  <r>
    <n v="3404"/>
    <x v="170"/>
    <x v="2"/>
    <x v="172"/>
    <x v="0"/>
    <x v="2"/>
    <x v="1"/>
    <s v="No"/>
    <x v="1"/>
    <x v="0"/>
    <n v="20"/>
    <n v="15"/>
    <x v="7"/>
  </r>
  <r>
    <n v="3405"/>
    <x v="171"/>
    <x v="1"/>
    <x v="173"/>
    <x v="1"/>
    <x v="1"/>
    <x v="0"/>
    <s v="No"/>
    <x v="1"/>
    <x v="1"/>
    <n v="0"/>
    <n v="1"/>
    <x v="4"/>
  </r>
  <r>
    <n v="3406"/>
    <x v="172"/>
    <x v="1"/>
    <x v="174"/>
    <x v="0"/>
    <x v="1"/>
    <x v="0"/>
    <s v="No"/>
    <x v="1"/>
    <x v="1"/>
    <n v="0"/>
    <n v="0"/>
    <x v="1"/>
  </r>
  <r>
    <n v="3407"/>
    <x v="173"/>
    <x v="0"/>
    <x v="175"/>
    <x v="1"/>
    <x v="0"/>
    <x v="2"/>
    <s v="Yes"/>
    <x v="0"/>
    <x v="0"/>
    <n v="20"/>
    <n v="7"/>
    <x v="12"/>
  </r>
  <r>
    <n v="3408"/>
    <x v="174"/>
    <x v="2"/>
    <x v="176"/>
    <x v="0"/>
    <x v="2"/>
    <x v="1"/>
    <s v="No"/>
    <x v="1"/>
    <x v="0"/>
    <n v="20"/>
    <n v="10"/>
    <x v="2"/>
  </r>
  <r>
    <n v="3409"/>
    <x v="175"/>
    <x v="1"/>
    <x v="177"/>
    <x v="1"/>
    <x v="1"/>
    <x v="2"/>
    <s v="No"/>
    <x v="1"/>
    <x v="1"/>
    <n v="0"/>
    <n v="1"/>
    <x v="4"/>
  </r>
  <r>
    <n v="3410"/>
    <x v="176"/>
    <x v="0"/>
    <x v="178"/>
    <x v="0"/>
    <x v="0"/>
    <x v="0"/>
    <s v="Yes"/>
    <x v="0"/>
    <x v="0"/>
    <n v="20"/>
    <n v="15"/>
    <x v="14"/>
  </r>
  <r>
    <n v="3411"/>
    <x v="177"/>
    <x v="2"/>
    <x v="179"/>
    <x v="1"/>
    <x v="2"/>
    <x v="0"/>
    <s v="No"/>
    <x v="1"/>
    <x v="0"/>
    <n v="20"/>
    <n v="5"/>
    <x v="13"/>
  </r>
  <r>
    <n v="3412"/>
    <x v="178"/>
    <x v="1"/>
    <x v="180"/>
    <x v="0"/>
    <x v="1"/>
    <x v="1"/>
    <s v="No"/>
    <x v="1"/>
    <x v="1"/>
    <n v="0"/>
    <n v="0"/>
    <x v="1"/>
  </r>
  <r>
    <n v="3413"/>
    <x v="179"/>
    <x v="0"/>
    <x v="181"/>
    <x v="1"/>
    <x v="0"/>
    <x v="2"/>
    <s v="Yes"/>
    <x v="0"/>
    <x v="0"/>
    <n v="20"/>
    <n v="20"/>
    <x v="8"/>
  </r>
  <r>
    <n v="3414"/>
    <x v="180"/>
    <x v="2"/>
    <x v="182"/>
    <x v="0"/>
    <x v="2"/>
    <x v="2"/>
    <s v="No"/>
    <x v="1"/>
    <x v="0"/>
    <n v="20"/>
    <n v="12"/>
    <x v="10"/>
  </r>
  <r>
    <n v="3415"/>
    <x v="181"/>
    <x v="1"/>
    <x v="183"/>
    <x v="1"/>
    <x v="1"/>
    <x v="0"/>
    <s v="No"/>
    <x v="1"/>
    <x v="1"/>
    <n v="0"/>
    <n v="2"/>
    <x v="11"/>
  </r>
  <r>
    <n v="3416"/>
    <x v="182"/>
    <x v="0"/>
    <x v="184"/>
    <x v="0"/>
    <x v="0"/>
    <x v="1"/>
    <s v="Yes"/>
    <x v="0"/>
    <x v="0"/>
    <n v="20"/>
    <n v="5"/>
    <x v="0"/>
  </r>
  <r>
    <n v="3417"/>
    <x v="183"/>
    <x v="2"/>
    <x v="185"/>
    <x v="1"/>
    <x v="2"/>
    <x v="0"/>
    <s v="No"/>
    <x v="1"/>
    <x v="0"/>
    <n v="20"/>
    <n v="10"/>
    <x v="2"/>
  </r>
  <r>
    <n v="3418"/>
    <x v="184"/>
    <x v="1"/>
    <x v="186"/>
    <x v="0"/>
    <x v="1"/>
    <x v="2"/>
    <s v="No"/>
    <x v="1"/>
    <x v="1"/>
    <n v="0"/>
    <n v="0"/>
    <x v="1"/>
  </r>
  <r>
    <n v="3419"/>
    <x v="185"/>
    <x v="0"/>
    <x v="187"/>
    <x v="1"/>
    <x v="0"/>
    <x v="0"/>
    <s v="Yes"/>
    <x v="0"/>
    <x v="0"/>
    <n v="20"/>
    <n v="3"/>
    <x v="3"/>
  </r>
  <r>
    <n v="3420"/>
    <x v="186"/>
    <x v="2"/>
    <x v="188"/>
    <x v="0"/>
    <x v="2"/>
    <x v="1"/>
    <s v="No"/>
    <x v="1"/>
    <x v="0"/>
    <n v="20"/>
    <n v="15"/>
    <x v="7"/>
  </r>
  <r>
    <n v="3421"/>
    <x v="15"/>
    <x v="1"/>
    <x v="189"/>
    <x v="1"/>
    <x v="1"/>
    <x v="0"/>
    <s v="No"/>
    <x v="1"/>
    <x v="1"/>
    <n v="0"/>
    <n v="1"/>
    <x v="4"/>
  </r>
  <r>
    <n v="3422"/>
    <x v="187"/>
    <x v="0"/>
    <x v="190"/>
    <x v="0"/>
    <x v="0"/>
    <x v="2"/>
    <s v="Yes"/>
    <x v="0"/>
    <x v="0"/>
    <n v="20"/>
    <n v="7"/>
    <x v="12"/>
  </r>
  <r>
    <n v="3423"/>
    <x v="188"/>
    <x v="2"/>
    <x v="191"/>
    <x v="1"/>
    <x v="2"/>
    <x v="0"/>
    <s v="No"/>
    <x v="1"/>
    <x v="0"/>
    <n v="20"/>
    <n v="10"/>
    <x v="2"/>
  </r>
  <r>
    <n v="3424"/>
    <x v="14"/>
    <x v="1"/>
    <x v="192"/>
    <x v="0"/>
    <x v="1"/>
    <x v="1"/>
    <s v="No"/>
    <x v="1"/>
    <x v="1"/>
    <n v="0"/>
    <n v="0"/>
    <x v="1"/>
  </r>
  <r>
    <n v="3425"/>
    <x v="189"/>
    <x v="0"/>
    <x v="193"/>
    <x v="1"/>
    <x v="0"/>
    <x v="0"/>
    <s v="Yes"/>
    <x v="0"/>
    <x v="0"/>
    <n v="20"/>
    <n v="20"/>
    <x v="8"/>
  </r>
  <r>
    <n v="3426"/>
    <x v="167"/>
    <x v="2"/>
    <x v="194"/>
    <x v="0"/>
    <x v="2"/>
    <x v="2"/>
    <s v="No"/>
    <x v="1"/>
    <x v="0"/>
    <n v="20"/>
    <n v="15"/>
    <x v="7"/>
  </r>
  <r>
    <n v="3427"/>
    <x v="190"/>
    <x v="1"/>
    <x v="195"/>
    <x v="1"/>
    <x v="1"/>
    <x v="0"/>
    <s v="No"/>
    <x v="1"/>
    <x v="1"/>
    <n v="0"/>
    <n v="1"/>
    <x v="4"/>
  </r>
  <r>
    <n v="3428"/>
    <x v="191"/>
    <x v="0"/>
    <x v="196"/>
    <x v="0"/>
    <x v="0"/>
    <x v="1"/>
    <s v="Yes"/>
    <x v="0"/>
    <x v="0"/>
    <n v="20"/>
    <n v="3"/>
    <x v="3"/>
  </r>
  <r>
    <n v="3429"/>
    <x v="192"/>
    <x v="2"/>
    <x v="197"/>
    <x v="1"/>
    <x v="2"/>
    <x v="0"/>
    <s v="No"/>
    <x v="1"/>
    <x v="0"/>
    <n v="20"/>
    <n v="10"/>
    <x v="2"/>
  </r>
  <r>
    <n v="3430"/>
    <x v="193"/>
    <x v="1"/>
    <x v="198"/>
    <x v="0"/>
    <x v="1"/>
    <x v="2"/>
    <s v="No"/>
    <x v="1"/>
    <x v="1"/>
    <n v="0"/>
    <n v="0"/>
    <x v="1"/>
  </r>
  <r>
    <n v="3431"/>
    <x v="194"/>
    <x v="0"/>
    <x v="199"/>
    <x v="1"/>
    <x v="0"/>
    <x v="0"/>
    <s v="Yes"/>
    <x v="0"/>
    <x v="0"/>
    <n v="20"/>
    <n v="15"/>
    <x v="14"/>
  </r>
  <r>
    <n v="3432"/>
    <x v="195"/>
    <x v="2"/>
    <x v="200"/>
    <x v="0"/>
    <x v="2"/>
    <x v="1"/>
    <s v="No"/>
    <x v="1"/>
    <x v="0"/>
    <n v="20"/>
    <n v="15"/>
    <x v="7"/>
  </r>
  <r>
    <n v="3433"/>
    <x v="196"/>
    <x v="1"/>
    <x v="201"/>
    <x v="1"/>
    <x v="1"/>
    <x v="0"/>
    <s v="No"/>
    <x v="1"/>
    <x v="1"/>
    <n v="0"/>
    <n v="1"/>
    <x v="4"/>
  </r>
  <r>
    <n v="3434"/>
    <x v="197"/>
    <x v="0"/>
    <x v="202"/>
    <x v="0"/>
    <x v="0"/>
    <x v="2"/>
    <s v="Yes"/>
    <x v="0"/>
    <x v="0"/>
    <n v="20"/>
    <n v="7"/>
    <x v="12"/>
  </r>
  <r>
    <n v="3435"/>
    <x v="198"/>
    <x v="2"/>
    <x v="203"/>
    <x v="1"/>
    <x v="2"/>
    <x v="0"/>
    <s v="No"/>
    <x v="1"/>
    <x v="0"/>
    <n v="20"/>
    <n v="10"/>
    <x v="2"/>
  </r>
  <r>
    <n v="3436"/>
    <x v="199"/>
    <x v="1"/>
    <x v="204"/>
    <x v="0"/>
    <x v="1"/>
    <x v="0"/>
    <s v="No"/>
    <x v="1"/>
    <x v="1"/>
    <n v="0"/>
    <n v="0"/>
    <x v="1"/>
  </r>
  <r>
    <n v="3437"/>
    <x v="200"/>
    <x v="0"/>
    <x v="205"/>
    <x v="1"/>
    <x v="0"/>
    <x v="2"/>
    <s v="Yes"/>
    <x v="0"/>
    <x v="0"/>
    <n v="20"/>
    <n v="7"/>
    <x v="12"/>
  </r>
  <r>
    <n v="3438"/>
    <x v="201"/>
    <x v="2"/>
    <x v="206"/>
    <x v="0"/>
    <x v="2"/>
    <x v="1"/>
    <s v="No"/>
    <x v="1"/>
    <x v="0"/>
    <n v="20"/>
    <n v="10"/>
    <x v="2"/>
  </r>
  <r>
    <n v="3439"/>
    <x v="202"/>
    <x v="1"/>
    <x v="207"/>
    <x v="1"/>
    <x v="1"/>
    <x v="2"/>
    <s v="No"/>
    <x v="1"/>
    <x v="1"/>
    <n v="0"/>
    <n v="1"/>
    <x v="4"/>
  </r>
  <r>
    <n v="3440"/>
    <x v="203"/>
    <x v="0"/>
    <x v="208"/>
    <x v="0"/>
    <x v="0"/>
    <x v="0"/>
    <s v="Yes"/>
    <x v="0"/>
    <x v="0"/>
    <n v="20"/>
    <n v="15"/>
    <x v="14"/>
  </r>
  <r>
    <n v="3441"/>
    <x v="204"/>
    <x v="2"/>
    <x v="209"/>
    <x v="1"/>
    <x v="2"/>
    <x v="0"/>
    <s v="No"/>
    <x v="1"/>
    <x v="0"/>
    <n v="20"/>
    <n v="5"/>
    <x v="13"/>
  </r>
  <r>
    <n v="3442"/>
    <x v="205"/>
    <x v="1"/>
    <x v="210"/>
    <x v="0"/>
    <x v="1"/>
    <x v="1"/>
    <s v="No"/>
    <x v="1"/>
    <x v="1"/>
    <n v="0"/>
    <n v="0"/>
    <x v="1"/>
  </r>
  <r>
    <n v="3443"/>
    <x v="206"/>
    <x v="0"/>
    <x v="211"/>
    <x v="1"/>
    <x v="0"/>
    <x v="2"/>
    <s v="Yes"/>
    <x v="0"/>
    <x v="0"/>
    <n v="20"/>
    <n v="20"/>
    <x v="8"/>
  </r>
  <r>
    <n v="3444"/>
    <x v="207"/>
    <x v="2"/>
    <x v="212"/>
    <x v="0"/>
    <x v="2"/>
    <x v="2"/>
    <s v="No"/>
    <x v="1"/>
    <x v="0"/>
    <n v="20"/>
    <n v="12"/>
    <x v="10"/>
  </r>
  <r>
    <n v="3445"/>
    <x v="37"/>
    <x v="1"/>
    <x v="213"/>
    <x v="1"/>
    <x v="1"/>
    <x v="0"/>
    <s v="No"/>
    <x v="1"/>
    <x v="1"/>
    <n v="0"/>
    <n v="2"/>
    <x v="11"/>
  </r>
  <r>
    <n v="3446"/>
    <x v="208"/>
    <x v="0"/>
    <x v="214"/>
    <x v="0"/>
    <x v="0"/>
    <x v="1"/>
    <s v="Yes"/>
    <x v="0"/>
    <x v="0"/>
    <n v="20"/>
    <n v="5"/>
    <x v="0"/>
  </r>
  <r>
    <n v="3447"/>
    <x v="209"/>
    <x v="2"/>
    <x v="215"/>
    <x v="1"/>
    <x v="2"/>
    <x v="0"/>
    <s v="No"/>
    <x v="1"/>
    <x v="0"/>
    <n v="20"/>
    <n v="10"/>
    <x v="2"/>
  </r>
  <r>
    <n v="3448"/>
    <x v="210"/>
    <x v="1"/>
    <x v="216"/>
    <x v="0"/>
    <x v="1"/>
    <x v="2"/>
    <s v="No"/>
    <x v="1"/>
    <x v="1"/>
    <n v="0"/>
    <n v="0"/>
    <x v="1"/>
  </r>
  <r>
    <n v="3449"/>
    <x v="211"/>
    <x v="0"/>
    <x v="217"/>
    <x v="1"/>
    <x v="0"/>
    <x v="0"/>
    <s v="Yes"/>
    <x v="0"/>
    <x v="0"/>
    <n v="20"/>
    <n v="3"/>
    <x v="3"/>
  </r>
  <r>
    <n v="3450"/>
    <x v="212"/>
    <x v="2"/>
    <x v="218"/>
    <x v="0"/>
    <x v="2"/>
    <x v="1"/>
    <s v="No"/>
    <x v="1"/>
    <x v="0"/>
    <n v="20"/>
    <n v="15"/>
    <x v="7"/>
  </r>
  <r>
    <n v="3451"/>
    <x v="213"/>
    <x v="1"/>
    <x v="219"/>
    <x v="1"/>
    <x v="1"/>
    <x v="0"/>
    <s v="No"/>
    <x v="1"/>
    <x v="1"/>
    <n v="0"/>
    <n v="1"/>
    <x v="4"/>
  </r>
  <r>
    <n v="3452"/>
    <x v="191"/>
    <x v="0"/>
    <x v="220"/>
    <x v="0"/>
    <x v="0"/>
    <x v="2"/>
    <s v="Yes"/>
    <x v="0"/>
    <x v="0"/>
    <n v="20"/>
    <n v="7"/>
    <x v="12"/>
  </r>
  <r>
    <n v="3453"/>
    <x v="45"/>
    <x v="2"/>
    <x v="221"/>
    <x v="1"/>
    <x v="2"/>
    <x v="0"/>
    <s v="No"/>
    <x v="1"/>
    <x v="0"/>
    <n v="20"/>
    <n v="10"/>
    <x v="2"/>
  </r>
  <r>
    <n v="3454"/>
    <x v="214"/>
    <x v="1"/>
    <x v="222"/>
    <x v="0"/>
    <x v="1"/>
    <x v="1"/>
    <s v="No"/>
    <x v="1"/>
    <x v="1"/>
    <n v="0"/>
    <n v="0"/>
    <x v="1"/>
  </r>
  <r>
    <n v="3455"/>
    <x v="215"/>
    <x v="0"/>
    <x v="223"/>
    <x v="1"/>
    <x v="0"/>
    <x v="0"/>
    <s v="Yes"/>
    <x v="0"/>
    <x v="0"/>
    <n v="20"/>
    <n v="20"/>
    <x v="8"/>
  </r>
  <r>
    <n v="3456"/>
    <x v="216"/>
    <x v="2"/>
    <x v="224"/>
    <x v="0"/>
    <x v="2"/>
    <x v="2"/>
    <s v="No"/>
    <x v="1"/>
    <x v="0"/>
    <n v="20"/>
    <n v="15"/>
    <x v="7"/>
  </r>
  <r>
    <n v="3457"/>
    <x v="217"/>
    <x v="1"/>
    <x v="225"/>
    <x v="1"/>
    <x v="1"/>
    <x v="0"/>
    <s v="No"/>
    <x v="1"/>
    <x v="1"/>
    <n v="0"/>
    <n v="1"/>
    <x v="4"/>
  </r>
  <r>
    <n v="3458"/>
    <x v="218"/>
    <x v="0"/>
    <x v="226"/>
    <x v="0"/>
    <x v="0"/>
    <x v="1"/>
    <s v="Yes"/>
    <x v="0"/>
    <x v="0"/>
    <n v="20"/>
    <n v="3"/>
    <x v="3"/>
  </r>
  <r>
    <n v="3459"/>
    <x v="219"/>
    <x v="2"/>
    <x v="227"/>
    <x v="1"/>
    <x v="2"/>
    <x v="0"/>
    <s v="No"/>
    <x v="1"/>
    <x v="0"/>
    <n v="20"/>
    <n v="10"/>
    <x v="2"/>
  </r>
  <r>
    <n v="3460"/>
    <x v="127"/>
    <x v="1"/>
    <x v="228"/>
    <x v="0"/>
    <x v="1"/>
    <x v="2"/>
    <s v="No"/>
    <x v="1"/>
    <x v="1"/>
    <n v="0"/>
    <n v="0"/>
    <x v="1"/>
  </r>
  <r>
    <n v="3461"/>
    <x v="220"/>
    <x v="0"/>
    <x v="229"/>
    <x v="1"/>
    <x v="0"/>
    <x v="0"/>
    <s v="Yes"/>
    <x v="0"/>
    <x v="0"/>
    <n v="20"/>
    <n v="15"/>
    <x v="14"/>
  </r>
  <r>
    <n v="3462"/>
    <x v="221"/>
    <x v="2"/>
    <x v="230"/>
    <x v="0"/>
    <x v="2"/>
    <x v="1"/>
    <s v="No"/>
    <x v="1"/>
    <x v="0"/>
    <n v="20"/>
    <n v="15"/>
    <x v="7"/>
  </r>
  <r>
    <n v="3463"/>
    <x v="222"/>
    <x v="1"/>
    <x v="231"/>
    <x v="1"/>
    <x v="1"/>
    <x v="0"/>
    <s v="No"/>
    <x v="1"/>
    <x v="1"/>
    <n v="0"/>
    <n v="1"/>
    <x v="4"/>
  </r>
  <r>
    <n v="3464"/>
    <x v="223"/>
    <x v="0"/>
    <x v="232"/>
    <x v="0"/>
    <x v="0"/>
    <x v="2"/>
    <s v="Yes"/>
    <x v="0"/>
    <x v="0"/>
    <n v="20"/>
    <n v="7"/>
    <x v="12"/>
  </r>
  <r>
    <n v="3465"/>
    <x v="224"/>
    <x v="2"/>
    <x v="233"/>
    <x v="1"/>
    <x v="2"/>
    <x v="0"/>
    <s v="No"/>
    <x v="1"/>
    <x v="0"/>
    <n v="20"/>
    <n v="10"/>
    <x v="2"/>
  </r>
  <r>
    <n v="3466"/>
    <x v="225"/>
    <x v="1"/>
    <x v="234"/>
    <x v="0"/>
    <x v="1"/>
    <x v="1"/>
    <s v="No"/>
    <x v="1"/>
    <x v="1"/>
    <n v="0"/>
    <n v="0"/>
    <x v="1"/>
  </r>
  <r>
    <n v="3467"/>
    <x v="226"/>
    <x v="0"/>
    <x v="235"/>
    <x v="1"/>
    <x v="0"/>
    <x v="0"/>
    <s v="Yes"/>
    <x v="0"/>
    <x v="0"/>
    <n v="20"/>
    <n v="15"/>
    <x v="14"/>
  </r>
  <r>
    <n v="3468"/>
    <x v="227"/>
    <x v="2"/>
    <x v="236"/>
    <x v="0"/>
    <x v="2"/>
    <x v="2"/>
    <s v="No"/>
    <x v="1"/>
    <x v="0"/>
    <n v="20"/>
    <n v="12"/>
    <x v="10"/>
  </r>
  <r>
    <n v="3469"/>
    <x v="228"/>
    <x v="1"/>
    <x v="237"/>
    <x v="1"/>
    <x v="1"/>
    <x v="0"/>
    <s v="No"/>
    <x v="1"/>
    <x v="1"/>
    <n v="0"/>
    <n v="2"/>
    <x v="11"/>
  </r>
  <r>
    <n v="3470"/>
    <x v="229"/>
    <x v="0"/>
    <x v="238"/>
    <x v="0"/>
    <x v="0"/>
    <x v="1"/>
    <s v="Yes"/>
    <x v="0"/>
    <x v="0"/>
    <n v="20"/>
    <n v="5"/>
    <x v="0"/>
  </r>
  <r>
    <n v="3471"/>
    <x v="230"/>
    <x v="2"/>
    <x v="239"/>
    <x v="1"/>
    <x v="2"/>
    <x v="0"/>
    <s v="No"/>
    <x v="1"/>
    <x v="0"/>
    <n v="20"/>
    <n v="10"/>
    <x v="2"/>
  </r>
  <r>
    <n v="3472"/>
    <x v="231"/>
    <x v="1"/>
    <x v="240"/>
    <x v="0"/>
    <x v="1"/>
    <x v="2"/>
    <s v="No"/>
    <x v="1"/>
    <x v="1"/>
    <n v="0"/>
    <n v="0"/>
    <x v="1"/>
  </r>
  <r>
    <n v="3473"/>
    <x v="140"/>
    <x v="0"/>
    <x v="241"/>
    <x v="1"/>
    <x v="0"/>
    <x v="0"/>
    <s v="Yes"/>
    <x v="0"/>
    <x v="0"/>
    <n v="20"/>
    <n v="3"/>
    <x v="3"/>
  </r>
  <r>
    <n v="3474"/>
    <x v="232"/>
    <x v="2"/>
    <x v="242"/>
    <x v="0"/>
    <x v="2"/>
    <x v="1"/>
    <s v="No"/>
    <x v="1"/>
    <x v="0"/>
    <n v="20"/>
    <n v="15"/>
    <x v="7"/>
  </r>
  <r>
    <n v="3475"/>
    <x v="233"/>
    <x v="1"/>
    <x v="243"/>
    <x v="1"/>
    <x v="1"/>
    <x v="0"/>
    <s v="No"/>
    <x v="1"/>
    <x v="1"/>
    <n v="0"/>
    <n v="1"/>
    <x v="4"/>
  </r>
  <r>
    <n v="3476"/>
    <x v="234"/>
    <x v="0"/>
    <x v="244"/>
    <x v="0"/>
    <x v="0"/>
    <x v="2"/>
    <s v="Yes"/>
    <x v="0"/>
    <x v="0"/>
    <n v="20"/>
    <n v="7"/>
    <x v="12"/>
  </r>
  <r>
    <n v="3477"/>
    <x v="235"/>
    <x v="2"/>
    <x v="245"/>
    <x v="1"/>
    <x v="2"/>
    <x v="0"/>
    <s v="No"/>
    <x v="1"/>
    <x v="0"/>
    <n v="20"/>
    <n v="10"/>
    <x v="2"/>
  </r>
  <r>
    <n v="3478"/>
    <x v="236"/>
    <x v="1"/>
    <x v="246"/>
    <x v="0"/>
    <x v="1"/>
    <x v="1"/>
    <s v="No"/>
    <x v="1"/>
    <x v="1"/>
    <n v="0"/>
    <n v="0"/>
    <x v="1"/>
  </r>
  <r>
    <n v="3479"/>
    <x v="237"/>
    <x v="0"/>
    <x v="247"/>
    <x v="1"/>
    <x v="0"/>
    <x v="0"/>
    <s v="Yes"/>
    <x v="0"/>
    <x v="0"/>
    <n v="20"/>
    <n v="20"/>
    <x v="8"/>
  </r>
  <r>
    <n v="3480"/>
    <x v="238"/>
    <x v="2"/>
    <x v="248"/>
    <x v="0"/>
    <x v="2"/>
    <x v="2"/>
    <s v="No"/>
    <x v="1"/>
    <x v="0"/>
    <n v="20"/>
    <n v="15"/>
    <x v="7"/>
  </r>
  <r>
    <n v="3481"/>
    <x v="239"/>
    <x v="1"/>
    <x v="249"/>
    <x v="1"/>
    <x v="1"/>
    <x v="0"/>
    <s v="No"/>
    <x v="1"/>
    <x v="1"/>
    <n v="0"/>
    <n v="1"/>
    <x v="4"/>
  </r>
  <r>
    <n v="3482"/>
    <x v="240"/>
    <x v="0"/>
    <x v="250"/>
    <x v="0"/>
    <x v="0"/>
    <x v="1"/>
    <s v="Yes"/>
    <x v="0"/>
    <x v="0"/>
    <n v="20"/>
    <n v="3"/>
    <x v="3"/>
  </r>
  <r>
    <n v="3483"/>
    <x v="241"/>
    <x v="2"/>
    <x v="251"/>
    <x v="1"/>
    <x v="2"/>
    <x v="0"/>
    <s v="No"/>
    <x v="1"/>
    <x v="0"/>
    <n v="20"/>
    <n v="10"/>
    <x v="2"/>
  </r>
  <r>
    <n v="3484"/>
    <x v="242"/>
    <x v="1"/>
    <x v="252"/>
    <x v="0"/>
    <x v="1"/>
    <x v="2"/>
    <s v="No"/>
    <x v="1"/>
    <x v="1"/>
    <n v="0"/>
    <n v="0"/>
    <x v="1"/>
  </r>
  <r>
    <n v="3485"/>
    <x v="243"/>
    <x v="0"/>
    <x v="253"/>
    <x v="1"/>
    <x v="0"/>
    <x v="0"/>
    <s v="Yes"/>
    <x v="0"/>
    <x v="0"/>
    <n v="20"/>
    <n v="15"/>
    <x v="14"/>
  </r>
  <r>
    <n v="3486"/>
    <x v="244"/>
    <x v="1"/>
    <x v="254"/>
    <x v="0"/>
    <x v="1"/>
    <x v="0"/>
    <s v="No"/>
    <x v="1"/>
    <x v="1"/>
    <n v="0"/>
    <n v="0"/>
    <x v="1"/>
  </r>
  <r>
    <n v="3487"/>
    <x v="245"/>
    <x v="0"/>
    <x v="255"/>
    <x v="1"/>
    <x v="0"/>
    <x v="2"/>
    <s v="Yes"/>
    <x v="0"/>
    <x v="0"/>
    <n v="20"/>
    <n v="7"/>
    <x v="12"/>
  </r>
  <r>
    <n v="3488"/>
    <x v="246"/>
    <x v="2"/>
    <x v="256"/>
    <x v="0"/>
    <x v="2"/>
    <x v="1"/>
    <s v="No"/>
    <x v="1"/>
    <x v="0"/>
    <n v="20"/>
    <n v="10"/>
    <x v="2"/>
  </r>
  <r>
    <n v="3489"/>
    <x v="247"/>
    <x v="1"/>
    <x v="257"/>
    <x v="1"/>
    <x v="1"/>
    <x v="2"/>
    <s v="No"/>
    <x v="1"/>
    <x v="1"/>
    <n v="0"/>
    <n v="1"/>
    <x v="4"/>
  </r>
  <r>
    <n v="3490"/>
    <x v="248"/>
    <x v="0"/>
    <x v="258"/>
    <x v="0"/>
    <x v="0"/>
    <x v="0"/>
    <s v="Yes"/>
    <x v="0"/>
    <x v="0"/>
    <n v="20"/>
    <n v="15"/>
    <x v="14"/>
  </r>
  <r>
    <n v="3491"/>
    <x v="249"/>
    <x v="2"/>
    <x v="259"/>
    <x v="1"/>
    <x v="2"/>
    <x v="0"/>
    <s v="No"/>
    <x v="1"/>
    <x v="0"/>
    <n v="20"/>
    <n v="5"/>
    <x v="13"/>
  </r>
  <r>
    <n v="3492"/>
    <x v="250"/>
    <x v="1"/>
    <x v="260"/>
    <x v="0"/>
    <x v="1"/>
    <x v="1"/>
    <s v="No"/>
    <x v="1"/>
    <x v="1"/>
    <n v="0"/>
    <n v="0"/>
    <x v="1"/>
  </r>
  <r>
    <n v="3493"/>
    <x v="251"/>
    <x v="0"/>
    <x v="261"/>
    <x v="1"/>
    <x v="0"/>
    <x v="2"/>
    <s v="Yes"/>
    <x v="0"/>
    <x v="0"/>
    <n v="20"/>
    <n v="20"/>
    <x v="8"/>
  </r>
  <r>
    <n v="3494"/>
    <x v="252"/>
    <x v="2"/>
    <x v="262"/>
    <x v="0"/>
    <x v="2"/>
    <x v="2"/>
    <s v="No"/>
    <x v="1"/>
    <x v="0"/>
    <n v="20"/>
    <n v="12"/>
    <x v="10"/>
  </r>
  <r>
    <n v="3495"/>
    <x v="253"/>
    <x v="1"/>
    <x v="263"/>
    <x v="1"/>
    <x v="1"/>
    <x v="0"/>
    <s v="No"/>
    <x v="1"/>
    <x v="1"/>
    <n v="0"/>
    <n v="2"/>
    <x v="11"/>
  </r>
  <r>
    <n v="3496"/>
    <x v="254"/>
    <x v="0"/>
    <x v="264"/>
    <x v="0"/>
    <x v="0"/>
    <x v="1"/>
    <s v="Yes"/>
    <x v="0"/>
    <x v="0"/>
    <n v="20"/>
    <n v="5"/>
    <x v="0"/>
  </r>
  <r>
    <n v="3497"/>
    <x v="255"/>
    <x v="2"/>
    <x v="265"/>
    <x v="1"/>
    <x v="2"/>
    <x v="0"/>
    <s v="No"/>
    <x v="1"/>
    <x v="0"/>
    <n v="20"/>
    <n v="10"/>
    <x v="2"/>
  </r>
  <r>
    <n v="3498"/>
    <x v="256"/>
    <x v="1"/>
    <x v="266"/>
    <x v="0"/>
    <x v="1"/>
    <x v="2"/>
    <s v="No"/>
    <x v="1"/>
    <x v="1"/>
    <n v="0"/>
    <n v="0"/>
    <x v="1"/>
  </r>
  <r>
    <n v="3499"/>
    <x v="257"/>
    <x v="0"/>
    <x v="267"/>
    <x v="1"/>
    <x v="0"/>
    <x v="0"/>
    <s v="Yes"/>
    <x v="0"/>
    <x v="0"/>
    <n v="20"/>
    <n v="3"/>
    <x v="3"/>
  </r>
  <r>
    <n v="3500"/>
    <x v="258"/>
    <x v="2"/>
    <x v="268"/>
    <x v="0"/>
    <x v="2"/>
    <x v="1"/>
    <s v="No"/>
    <x v="1"/>
    <x v="0"/>
    <n v="20"/>
    <n v="15"/>
    <x v="7"/>
  </r>
  <r>
    <n v="3501"/>
    <x v="259"/>
    <x v="1"/>
    <x v="269"/>
    <x v="1"/>
    <x v="1"/>
    <x v="0"/>
    <s v="No"/>
    <x v="1"/>
    <x v="1"/>
    <n v="0"/>
    <n v="1"/>
    <x v="4"/>
  </r>
  <r>
    <n v="3502"/>
    <x v="260"/>
    <x v="0"/>
    <x v="270"/>
    <x v="0"/>
    <x v="0"/>
    <x v="2"/>
    <s v="Yes"/>
    <x v="0"/>
    <x v="0"/>
    <n v="20"/>
    <n v="7"/>
    <x v="12"/>
  </r>
  <r>
    <n v="3503"/>
    <x v="119"/>
    <x v="2"/>
    <x v="271"/>
    <x v="1"/>
    <x v="2"/>
    <x v="0"/>
    <s v="No"/>
    <x v="1"/>
    <x v="0"/>
    <n v="20"/>
    <n v="10"/>
    <x v="2"/>
  </r>
  <r>
    <n v="3504"/>
    <x v="261"/>
    <x v="1"/>
    <x v="272"/>
    <x v="0"/>
    <x v="1"/>
    <x v="1"/>
    <s v="No"/>
    <x v="1"/>
    <x v="1"/>
    <n v="0"/>
    <n v="0"/>
    <x v="1"/>
  </r>
  <r>
    <n v="3505"/>
    <x v="262"/>
    <x v="0"/>
    <x v="273"/>
    <x v="1"/>
    <x v="0"/>
    <x v="0"/>
    <s v="Yes"/>
    <x v="0"/>
    <x v="0"/>
    <n v="20"/>
    <n v="20"/>
    <x v="8"/>
  </r>
  <r>
    <n v="3506"/>
    <x v="263"/>
    <x v="2"/>
    <x v="274"/>
    <x v="0"/>
    <x v="2"/>
    <x v="2"/>
    <s v="No"/>
    <x v="1"/>
    <x v="0"/>
    <n v="20"/>
    <n v="15"/>
    <x v="7"/>
  </r>
  <r>
    <n v="3507"/>
    <x v="264"/>
    <x v="1"/>
    <x v="275"/>
    <x v="1"/>
    <x v="1"/>
    <x v="0"/>
    <s v="No"/>
    <x v="1"/>
    <x v="1"/>
    <n v="0"/>
    <n v="1"/>
    <x v="4"/>
  </r>
  <r>
    <n v="3508"/>
    <x v="265"/>
    <x v="0"/>
    <x v="276"/>
    <x v="0"/>
    <x v="0"/>
    <x v="1"/>
    <s v="Yes"/>
    <x v="0"/>
    <x v="0"/>
    <n v="20"/>
    <n v="3"/>
    <x v="3"/>
  </r>
  <r>
    <n v="3509"/>
    <x v="266"/>
    <x v="2"/>
    <x v="277"/>
    <x v="1"/>
    <x v="2"/>
    <x v="0"/>
    <s v="No"/>
    <x v="1"/>
    <x v="0"/>
    <n v="20"/>
    <n v="10"/>
    <x v="2"/>
  </r>
  <r>
    <n v="3510"/>
    <x v="267"/>
    <x v="1"/>
    <x v="278"/>
    <x v="0"/>
    <x v="1"/>
    <x v="2"/>
    <s v="No"/>
    <x v="1"/>
    <x v="1"/>
    <n v="0"/>
    <n v="0"/>
    <x v="1"/>
  </r>
  <r>
    <n v="3511"/>
    <x v="268"/>
    <x v="0"/>
    <x v="279"/>
    <x v="1"/>
    <x v="0"/>
    <x v="0"/>
    <s v="Yes"/>
    <x v="0"/>
    <x v="0"/>
    <n v="20"/>
    <n v="15"/>
    <x v="14"/>
  </r>
  <r>
    <n v="3512"/>
    <x v="269"/>
    <x v="2"/>
    <x v="280"/>
    <x v="0"/>
    <x v="2"/>
    <x v="1"/>
    <s v="No"/>
    <x v="1"/>
    <x v="0"/>
    <n v="20"/>
    <n v="15"/>
    <x v="7"/>
  </r>
  <r>
    <n v="3513"/>
    <x v="270"/>
    <x v="1"/>
    <x v="281"/>
    <x v="1"/>
    <x v="1"/>
    <x v="0"/>
    <s v="No"/>
    <x v="1"/>
    <x v="1"/>
    <n v="0"/>
    <n v="1"/>
    <x v="4"/>
  </r>
  <r>
    <n v="3514"/>
    <x v="271"/>
    <x v="0"/>
    <x v="282"/>
    <x v="0"/>
    <x v="0"/>
    <x v="2"/>
    <s v="Yes"/>
    <x v="0"/>
    <x v="0"/>
    <n v="20"/>
    <n v="7"/>
    <x v="12"/>
  </r>
  <r>
    <n v="3515"/>
    <x v="130"/>
    <x v="2"/>
    <x v="283"/>
    <x v="1"/>
    <x v="2"/>
    <x v="0"/>
    <s v="No"/>
    <x v="1"/>
    <x v="0"/>
    <n v="20"/>
    <n v="10"/>
    <x v="2"/>
  </r>
  <r>
    <n v="3516"/>
    <x v="131"/>
    <x v="1"/>
    <x v="284"/>
    <x v="0"/>
    <x v="1"/>
    <x v="1"/>
    <s v="No"/>
    <x v="1"/>
    <x v="1"/>
    <n v="0"/>
    <n v="0"/>
    <x v="1"/>
  </r>
  <r>
    <n v="3517"/>
    <x v="181"/>
    <x v="0"/>
    <x v="285"/>
    <x v="1"/>
    <x v="0"/>
    <x v="0"/>
    <s v="Yes"/>
    <x v="0"/>
    <x v="0"/>
    <n v="20"/>
    <n v="20"/>
    <x v="8"/>
  </r>
  <r>
    <n v="3518"/>
    <x v="272"/>
    <x v="2"/>
    <x v="286"/>
    <x v="0"/>
    <x v="2"/>
    <x v="2"/>
    <s v="No"/>
    <x v="1"/>
    <x v="0"/>
    <n v="20"/>
    <n v="12"/>
    <x v="10"/>
  </r>
  <r>
    <n v="3519"/>
    <x v="273"/>
    <x v="1"/>
    <x v="287"/>
    <x v="1"/>
    <x v="1"/>
    <x v="0"/>
    <s v="No"/>
    <x v="1"/>
    <x v="1"/>
    <n v="0"/>
    <n v="2"/>
    <x v="11"/>
  </r>
  <r>
    <n v="3520"/>
    <x v="274"/>
    <x v="0"/>
    <x v="288"/>
    <x v="0"/>
    <x v="0"/>
    <x v="1"/>
    <s v="Yes"/>
    <x v="0"/>
    <x v="0"/>
    <n v="20"/>
    <n v="5"/>
    <x v="0"/>
  </r>
  <r>
    <n v="3521"/>
    <x v="275"/>
    <x v="2"/>
    <x v="289"/>
    <x v="1"/>
    <x v="2"/>
    <x v="0"/>
    <s v="No"/>
    <x v="1"/>
    <x v="0"/>
    <n v="20"/>
    <n v="10"/>
    <x v="2"/>
  </r>
  <r>
    <n v="3522"/>
    <x v="276"/>
    <x v="1"/>
    <x v="290"/>
    <x v="0"/>
    <x v="1"/>
    <x v="2"/>
    <s v="No"/>
    <x v="1"/>
    <x v="1"/>
    <n v="0"/>
    <n v="0"/>
    <x v="1"/>
  </r>
  <r>
    <n v="3523"/>
    <x v="277"/>
    <x v="0"/>
    <x v="291"/>
    <x v="1"/>
    <x v="0"/>
    <x v="0"/>
    <s v="Yes"/>
    <x v="0"/>
    <x v="0"/>
    <n v="20"/>
    <n v="3"/>
    <x v="3"/>
  </r>
  <r>
    <n v="3524"/>
    <x v="278"/>
    <x v="2"/>
    <x v="292"/>
    <x v="0"/>
    <x v="2"/>
    <x v="1"/>
    <s v="No"/>
    <x v="1"/>
    <x v="0"/>
    <n v="20"/>
    <n v="15"/>
    <x v="7"/>
  </r>
  <r>
    <n v="3525"/>
    <x v="279"/>
    <x v="1"/>
    <x v="293"/>
    <x v="1"/>
    <x v="1"/>
    <x v="0"/>
    <s v="No"/>
    <x v="1"/>
    <x v="1"/>
    <n v="0"/>
    <n v="1"/>
    <x v="4"/>
  </r>
  <r>
    <m/>
    <x v="280"/>
    <x v="3"/>
    <x v="294"/>
    <x v="2"/>
    <x v="3"/>
    <x v="3"/>
    <m/>
    <x v="2"/>
    <x v="2"/>
    <m/>
    <m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BEE2C2-B11C-4682-A153-EE45EBD60B81}" name="Tabela dinâmica3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25:C29" firstHeaderRow="1" firstDataRow="1" firstDataCol="1" rowPageCount="1" colPageCount="1"/>
  <pivotFields count="15">
    <pivotField showAll="0"/>
    <pivotField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>
      <items count="296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>
      <items count="4">
        <item x="1"/>
        <item x="0"/>
        <item h="1" x="2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axis="axisPage" multipleItemSelectionAllowed="1" showAll="0">
      <items count="5">
        <item x="1"/>
        <item x="0"/>
        <item x="2"/>
        <item h="1" x="3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dataField="1" showAll="0"/>
    <pivotField showAll="0"/>
    <pivotField showAll="0">
      <items count="17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x="1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2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BD53F6-FDD8-4853-A62B-D3082A62D95D}" name="Tbl_EA_seasonpass_total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7:C21" firstHeaderRow="1" firstDataRow="1" firstDataCol="1"/>
  <pivotFields count="15">
    <pivotField showAll="0"/>
    <pivotField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>
      <items count="296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>
      <items count="4">
        <item x="1"/>
        <item x="0"/>
        <item h="1" x="2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multipleItemSelectionAllowed="1" showAll="0">
      <items count="5">
        <item x="1"/>
        <item x="0"/>
        <item x="2"/>
        <item h="1" x="3"/>
        <item t="default"/>
      </items>
    </pivotField>
    <pivotField showAll="0"/>
    <pivotField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>
      <items count="17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x="1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EA Play Season Pass" fld="8" baseField="2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1088E-B4E2-41F1-A27D-FB93DC5A449B}" name="Tbl_Anual_Total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9:C12" firstHeaderRow="1" firstDataRow="1" firstDataCol="1" rowPageCount="1" colPageCount="1"/>
  <pivotFields count="15">
    <pivotField showAll="0"/>
    <pivotField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296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axis="axisRow" showAll="0">
      <items count="4">
        <item x="1"/>
        <item x="0"/>
        <item h="1" x="2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axis="axisPage" multipleItemSelectionAllowed="1" showAll="0">
      <items count="5">
        <item x="1"/>
        <item x="0"/>
        <item x="2"/>
        <item h="1" x="3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>
      <items count="17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x="1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4" baseItem="0" numFmtId="166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21A7DCB-11D5-4FFC-AE5C-BFFB5E85AD3A}" sourceName="Subscription Type">
  <pivotTables>
    <pivotTable tabId="3" name="Tbl_Anual_Total"/>
    <pivotTable tabId="3" name="Tbl_EA_seasonpass_total"/>
    <pivotTable tabId="3" name="Tabela dinâmica3"/>
  </pivotTables>
  <data>
    <tabular pivotCacheId="486595745">
      <items count="4">
        <i x="1" s="1"/>
        <i x="0" s="1"/>
        <i x="2" s="1"/>
        <i x="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BF9CEC2-2DDB-458B-A0D6-D448DCE19543}" cache="SegmentaçãodeDados_Subscription_Type" caption="Subscription Type" style="SlicerStyleLight3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4">
      <filters>
        <filter val="Yes"/>
      </filters>
    </filterColumn>
    <filterColumn colId="6">
      <filters>
        <filter val="Annual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  <a:ln>
          <a:noFill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5" zoomScaleNormal="100" workbookViewId="0">
      <selection activeCell="B7" sqref="B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headerFooter>
    <oddFooter>&amp;C_x000D_&amp;1#&amp;"Aptos"&amp;10&amp;K000000 *** Este documento está classificado como INTERNO pelo GRUPO FLEURY ***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B17" zoomScale="90" zoomScaleNormal="90" workbookViewId="0">
      <selection activeCell="M295" sqref="M9:M295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style="1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14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7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7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8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hidden="1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7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7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7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7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7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7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7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7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7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7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7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7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7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7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7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7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7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7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7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7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7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7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hidden="1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7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7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7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7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hidden="1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7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7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7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7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7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7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7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7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7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7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7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7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7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7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7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7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7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7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7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7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7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7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7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7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7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7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7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7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7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7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7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7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7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7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7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7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7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7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7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7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7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7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7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7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7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7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7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7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7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7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7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7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7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7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7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7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7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7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7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7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7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7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7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7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7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7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7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7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7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&amp;C_x000D_&amp;1#&amp;"Aptos"&amp;10&amp;K000000 *** Este documento está classificado como INTERNO pelo GRUPO FLEURY ***</oddFooter>
  </headerFooter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7:E29"/>
  <sheetViews>
    <sheetView showGridLines="0" topLeftCell="A15" workbookViewId="0">
      <selection activeCell="L28" sqref="L28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7.7109375" bestFit="1" customWidth="1"/>
    <col min="5" max="5" width="12.5703125" customWidth="1"/>
    <col min="6" max="17" width="3" bestFit="1" customWidth="1"/>
    <col min="18" max="18" width="7" bestFit="1" customWidth="1"/>
    <col min="19" max="19" width="10.7109375" bestFit="1" customWidth="1"/>
  </cols>
  <sheetData>
    <row r="7" spans="2:3" x14ac:dyDescent="0.25">
      <c r="B7" s="12" t="s">
        <v>16</v>
      </c>
      <c r="C7" t="s">
        <v>317</v>
      </c>
    </row>
    <row r="8" spans="2:3" ht="42" customHeight="1" x14ac:dyDescent="0.25"/>
    <row r="9" spans="2:3" x14ac:dyDescent="0.25">
      <c r="B9" s="12" t="s">
        <v>313</v>
      </c>
      <c r="C9" t="s">
        <v>315</v>
      </c>
    </row>
    <row r="10" spans="2:3" x14ac:dyDescent="0.25">
      <c r="B10" s="13" t="s">
        <v>23</v>
      </c>
      <c r="C10" s="16">
        <v>3847</v>
      </c>
    </row>
    <row r="11" spans="2:3" x14ac:dyDescent="0.25">
      <c r="B11" s="13" t="s">
        <v>19</v>
      </c>
      <c r="C11" s="16">
        <v>3786</v>
      </c>
    </row>
    <row r="12" spans="2:3" x14ac:dyDescent="0.25">
      <c r="B12" s="13" t="s">
        <v>314</v>
      </c>
      <c r="C12" s="16">
        <v>7633</v>
      </c>
    </row>
    <row r="14" spans="2:3" ht="14.25" customHeight="1" x14ac:dyDescent="0.25"/>
    <row r="17" spans="2:5" x14ac:dyDescent="0.25">
      <c r="B17" s="12" t="s">
        <v>313</v>
      </c>
      <c r="C17" t="s">
        <v>319</v>
      </c>
    </row>
    <row r="18" spans="2:5" x14ac:dyDescent="0.25">
      <c r="B18" s="13" t="s">
        <v>22</v>
      </c>
      <c r="C18" s="16">
        <v>0</v>
      </c>
    </row>
    <row r="19" spans="2:5" x14ac:dyDescent="0.25">
      <c r="B19" s="13" t="s">
        <v>26</v>
      </c>
      <c r="C19" s="16">
        <v>0</v>
      </c>
      <c r="E19" s="23"/>
    </row>
    <row r="20" spans="2:5" x14ac:dyDescent="0.25">
      <c r="B20" s="13" t="s">
        <v>18</v>
      </c>
      <c r="C20" s="16">
        <v>2940</v>
      </c>
    </row>
    <row r="21" spans="2:5" x14ac:dyDescent="0.25">
      <c r="B21" s="13" t="s">
        <v>314</v>
      </c>
      <c r="C21" s="16">
        <v>2940</v>
      </c>
      <c r="E21" s="23">
        <f>GETPIVOTDATA("EA Play Season Pass
Price",$B$17)</f>
        <v>2940</v>
      </c>
    </row>
    <row r="23" spans="2:5" x14ac:dyDescent="0.25">
      <c r="B23" s="12" t="s">
        <v>16</v>
      </c>
      <c r="C23" t="s">
        <v>317</v>
      </c>
    </row>
    <row r="25" spans="2:5" x14ac:dyDescent="0.25">
      <c r="B25" s="12" t="s">
        <v>313</v>
      </c>
      <c r="C25" t="s">
        <v>316</v>
      </c>
    </row>
    <row r="26" spans="2:5" x14ac:dyDescent="0.25">
      <c r="B26" s="13" t="s">
        <v>22</v>
      </c>
      <c r="C26" s="16">
        <v>0</v>
      </c>
    </row>
    <row r="27" spans="2:5" x14ac:dyDescent="0.25">
      <c r="B27" s="13" t="s">
        <v>26</v>
      </c>
      <c r="C27" s="16">
        <v>1920</v>
      </c>
    </row>
    <row r="28" spans="2:5" x14ac:dyDescent="0.25">
      <c r="B28" s="13" t="s">
        <v>18</v>
      </c>
      <c r="C28" s="16">
        <v>1960</v>
      </c>
    </row>
    <row r="29" spans="2:5" x14ac:dyDescent="0.25">
      <c r="B29" s="13" t="s">
        <v>314</v>
      </c>
      <c r="C29" s="16">
        <v>3880</v>
      </c>
      <c r="E29" s="15">
        <f>GETPIVOTDATA("Minecraft Season Pass Price",$B$25)</f>
        <v>3880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&amp;C_x000D_&amp;1#&amp;"Aptos"&amp;10&amp;K000000 *** Este documento está classificado como INTERNO pelo GRUPO FLEURY ***</oddFooter>
  </headerFooter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BW89"/>
  <sheetViews>
    <sheetView showGridLines="0" tabSelected="1" topLeftCell="A2" zoomScale="80" zoomScaleNormal="80" workbookViewId="0">
      <selection activeCell="V10" sqref="V10"/>
    </sheetView>
  </sheetViews>
  <sheetFormatPr defaultRowHeight="15" x14ac:dyDescent="0.25"/>
  <cols>
    <col min="1" max="1" width="29.5703125" customWidth="1"/>
    <col min="2" max="2" width="3.5703125" customWidth="1"/>
    <col min="12" max="12" width="6.5703125" customWidth="1"/>
  </cols>
  <sheetData>
    <row r="1" spans="1:75" x14ac:dyDescent="0.25">
      <c r="A1" s="4"/>
    </row>
    <row r="2" spans="1:75" ht="39" customHeight="1" thickBot="1" x14ac:dyDescent="0.35">
      <c r="A2" s="4"/>
      <c r="C2" s="19" t="s">
        <v>318</v>
      </c>
      <c r="D2" s="19"/>
      <c r="E2" s="19"/>
      <c r="F2" s="19"/>
      <c r="G2" s="19"/>
      <c r="H2" s="19"/>
      <c r="I2" s="19"/>
      <c r="J2" s="19"/>
      <c r="K2" s="20"/>
      <c r="L2" s="21"/>
    </row>
    <row r="3" spans="1:75" ht="8.25" customHeight="1" thickTop="1" x14ac:dyDescent="0.25">
      <c r="A3" s="4"/>
    </row>
    <row r="4" spans="1:75" ht="7.5" customHeight="1" x14ac:dyDescent="0.25">
      <c r="A4" s="4"/>
    </row>
    <row r="5" spans="1:75" ht="7.5" customHeight="1" x14ac:dyDescent="0.25">
      <c r="A5" s="4"/>
    </row>
    <row r="6" spans="1:75" ht="7.5" customHeight="1" x14ac:dyDescent="0.25">
      <c r="A6" s="4"/>
    </row>
    <row r="7" spans="1:75" ht="33" customHeight="1" x14ac:dyDescent="0.25">
      <c r="A7" s="4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4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</row>
    <row r="8" spans="1:75" x14ac:dyDescent="0.25">
      <c r="A8" s="4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</row>
    <row r="9" spans="1:75" x14ac:dyDescent="0.25">
      <c r="A9" s="4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</row>
    <row r="10" spans="1:75" x14ac:dyDescent="0.25">
      <c r="A10" s="4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</row>
    <row r="11" spans="1:75" x14ac:dyDescent="0.25">
      <c r="A11" s="4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</row>
    <row r="12" spans="1:75" x14ac:dyDescent="0.25">
      <c r="A12" s="4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</row>
    <row r="13" spans="1:75" x14ac:dyDescent="0.25">
      <c r="A13" s="4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4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</row>
    <row r="14" spans="1:75" x14ac:dyDescent="0.25">
      <c r="A14" s="4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</row>
    <row r="15" spans="1:75" x14ac:dyDescent="0.25">
      <c r="A15" s="4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</row>
    <row r="16" spans="1:75" x14ac:dyDescent="0.25">
      <c r="A16" s="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</row>
    <row r="17" spans="1:75" x14ac:dyDescent="0.25">
      <c r="A17" s="4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</row>
    <row r="18" spans="1:75" x14ac:dyDescent="0.25">
      <c r="A18" s="4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</row>
    <row r="19" spans="1:75" x14ac:dyDescent="0.25">
      <c r="A19" s="4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</row>
    <row r="20" spans="1:75" x14ac:dyDescent="0.25">
      <c r="A20" s="4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</row>
    <row r="21" spans="1:75" x14ac:dyDescent="0.25">
      <c r="A21" s="4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</row>
    <row r="22" spans="1:75" x14ac:dyDescent="0.25">
      <c r="A22" s="4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</row>
    <row r="23" spans="1:75" x14ac:dyDescent="0.25">
      <c r="A23" s="4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</row>
    <row r="24" spans="1:75" x14ac:dyDescent="0.25">
      <c r="A24" s="4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</row>
    <row r="25" spans="1:75" x14ac:dyDescent="0.25">
      <c r="A25" s="4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</row>
    <row r="26" spans="1:75" x14ac:dyDescent="0.25">
      <c r="A26" s="4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</row>
    <row r="27" spans="1:75" x14ac:dyDescent="0.25">
      <c r="A27" s="4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</row>
    <row r="28" spans="1:75" x14ac:dyDescent="0.25">
      <c r="A28" s="4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</row>
    <row r="29" spans="1:75" x14ac:dyDescent="0.25">
      <c r="A29" s="4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</row>
    <row r="30" spans="1:75" x14ac:dyDescent="0.25">
      <c r="A30" s="4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</row>
    <row r="31" spans="1:75" x14ac:dyDescent="0.25">
      <c r="A31" s="4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</row>
    <row r="32" spans="1:75" x14ac:dyDescent="0.25">
      <c r="A32" s="4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</row>
    <row r="33" spans="1:75" x14ac:dyDescent="0.25">
      <c r="A33" s="4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</row>
    <row r="34" spans="1:75" x14ac:dyDescent="0.25">
      <c r="A34" s="4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</row>
    <row r="35" spans="1:75" x14ac:dyDescent="0.25">
      <c r="A35" s="4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</row>
    <row r="36" spans="1:75" x14ac:dyDescent="0.25">
      <c r="A36" s="4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</row>
    <row r="37" spans="1:75" x14ac:dyDescent="0.25">
      <c r="A37" s="4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</row>
    <row r="38" spans="1:75" x14ac:dyDescent="0.25">
      <c r="A38" s="4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</row>
    <row r="39" spans="1:75" x14ac:dyDescent="0.25">
      <c r="A39" s="4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</row>
    <row r="40" spans="1:75" x14ac:dyDescent="0.25">
      <c r="A40" s="4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</row>
    <row r="41" spans="1:75" x14ac:dyDescent="0.25">
      <c r="A41" s="4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</row>
    <row r="42" spans="1:75" x14ac:dyDescent="0.25">
      <c r="A42" s="4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</row>
    <row r="43" spans="1:75" x14ac:dyDescent="0.25">
      <c r="A43" s="4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</row>
    <row r="44" spans="1:75" x14ac:dyDescent="0.25">
      <c r="A44" s="4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</row>
    <row r="45" spans="1:75" x14ac:dyDescent="0.25">
      <c r="A45" s="4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</row>
    <row r="46" spans="1:75" x14ac:dyDescent="0.25">
      <c r="A46" s="4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</row>
    <row r="47" spans="1:75" x14ac:dyDescent="0.25">
      <c r="A47" s="4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</row>
    <row r="48" spans="1:75" x14ac:dyDescent="0.25">
      <c r="A48" s="4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</row>
    <row r="49" spans="1:75" x14ac:dyDescent="0.25">
      <c r="A49" s="4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</row>
    <row r="50" spans="1:75" x14ac:dyDescent="0.25">
      <c r="A50" s="4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</row>
    <row r="51" spans="1:75" x14ac:dyDescent="0.25">
      <c r="A51" s="4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</row>
    <row r="52" spans="1:75" x14ac:dyDescent="0.25">
      <c r="A52" s="4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</row>
    <row r="53" spans="1:75" x14ac:dyDescent="0.25">
      <c r="A53" s="4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</row>
    <row r="54" spans="1:75" x14ac:dyDescent="0.25">
      <c r="A54" s="4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</row>
    <row r="55" spans="1:75" x14ac:dyDescent="0.25">
      <c r="A55" s="4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</row>
    <row r="56" spans="1:75" x14ac:dyDescent="0.25">
      <c r="A56" s="4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</row>
    <row r="57" spans="1:75" x14ac:dyDescent="0.25">
      <c r="A57" s="4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</row>
    <row r="58" spans="1:75" x14ac:dyDescent="0.25">
      <c r="A58" s="4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</row>
    <row r="59" spans="1:75" x14ac:dyDescent="0.25">
      <c r="A59" s="4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</row>
    <row r="60" spans="1:75" x14ac:dyDescent="0.25">
      <c r="A60" s="4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</row>
    <row r="61" spans="1:75" x14ac:dyDescent="0.25">
      <c r="A61" s="4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</row>
    <row r="62" spans="1:75" x14ac:dyDescent="0.25">
      <c r="A62" s="4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</row>
    <row r="63" spans="1:75" x14ac:dyDescent="0.25">
      <c r="A63" s="4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</row>
    <row r="64" spans="1:75" x14ac:dyDescent="0.25">
      <c r="A64" s="4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</row>
    <row r="65" spans="1:75" x14ac:dyDescent="0.25">
      <c r="A65" s="4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</row>
    <row r="66" spans="1:75" x14ac:dyDescent="0.25">
      <c r="A66" s="4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</row>
    <row r="67" spans="1:75" x14ac:dyDescent="0.25">
      <c r="A67" s="4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</row>
    <row r="68" spans="1:75" x14ac:dyDescent="0.25">
      <c r="A68" s="4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</row>
    <row r="69" spans="1:75" x14ac:dyDescent="0.25">
      <c r="A69" s="4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</row>
    <row r="70" spans="1:75" x14ac:dyDescent="0.25">
      <c r="A70" s="4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</row>
    <row r="71" spans="1:75" x14ac:dyDescent="0.25">
      <c r="A71" s="4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</row>
    <row r="72" spans="1:75" x14ac:dyDescent="0.25">
      <c r="A72" s="4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</row>
    <row r="73" spans="1:75" x14ac:dyDescent="0.25">
      <c r="A73" s="4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</row>
    <row r="74" spans="1:75" x14ac:dyDescent="0.25">
      <c r="A74" s="4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</row>
    <row r="75" spans="1:75" x14ac:dyDescent="0.25">
      <c r="A75" s="4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</row>
    <row r="76" spans="1:75" x14ac:dyDescent="0.25">
      <c r="A76" s="4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</row>
    <row r="77" spans="1:75" x14ac:dyDescent="0.25">
      <c r="A77" s="4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</row>
    <row r="78" spans="1:75" x14ac:dyDescent="0.25">
      <c r="A78" s="4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</row>
    <row r="79" spans="1:75" x14ac:dyDescent="0.25">
      <c r="A79" s="4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</row>
    <row r="80" spans="1:75" x14ac:dyDescent="0.25">
      <c r="A80" s="4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</row>
    <row r="81" spans="1:75" x14ac:dyDescent="0.25">
      <c r="A81" s="4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</row>
    <row r="82" spans="1:75" x14ac:dyDescent="0.25">
      <c r="A82" s="4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</row>
    <row r="83" spans="1:75" x14ac:dyDescent="0.25">
      <c r="A83" s="4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</row>
    <row r="84" spans="1:75" x14ac:dyDescent="0.25">
      <c r="A84" s="4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</row>
    <row r="85" spans="1:75" x14ac:dyDescent="0.25">
      <c r="A85" s="4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</row>
    <row r="86" spans="1:75" x14ac:dyDescent="0.25">
      <c r="A86" s="4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</row>
    <row r="87" spans="1:75" x14ac:dyDescent="0.25">
      <c r="A87" s="4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</row>
    <row r="88" spans="1:75" x14ac:dyDescent="0.25">
      <c r="A88" s="4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</row>
    <row r="89" spans="1:75" x14ac:dyDescent="0.25">
      <c r="A89" s="4"/>
    </row>
  </sheetData>
  <pageMargins left="0.511811024" right="0.511811024" top="0.78740157499999996" bottom="0.78740157499999996" header="0.31496062000000002" footer="0.31496062000000002"/>
  <headerFooter>
    <oddFooter>&amp;C_x000D_&amp;1#&amp;"Aptos"&amp;10&amp;K000000 *** Este documento está classificado como INTERNO pelo GRUPO FLEURY ***</oddFooter>
  </headerFooter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Lucas Eugenio Miranda Pinto</cp:lastModifiedBy>
  <dcterms:created xsi:type="dcterms:W3CDTF">2024-12-19T13:13:10Z</dcterms:created>
  <dcterms:modified xsi:type="dcterms:W3CDTF">2026-05-06T02:00:16Z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MSIP_Label_d416729b-f83a-495b-8172-1b4831f1677b_Enabled">
    <vt:lpwstr>true</vt:lpwstr>
  </property>
  <property fmtid="{D5CDD505-2E9C-101B-9397-08002B2CF9AE}" pid="4" name="MSIP_Label_d416729b-f83a-495b-8172-1b4831f1677b_SetDate">
    <vt:lpwstr>2026-05-06T01:55:42Z</vt:lpwstr>
  </property>
  <property fmtid="{D5CDD505-2E9C-101B-9397-08002B2CF9AE}" pid="5" name="MSIP_Label_d416729b-f83a-495b-8172-1b4831f1677b_Method">
    <vt:lpwstr>Standard</vt:lpwstr>
  </property>
  <property fmtid="{D5CDD505-2E9C-101B-9397-08002B2CF9AE}" pid="6" name="MSIP_Label_d416729b-f83a-495b-8172-1b4831f1677b_Name">
    <vt:lpwstr>Interno</vt:lpwstr>
  </property>
  <property fmtid="{D5CDD505-2E9C-101B-9397-08002B2CF9AE}" pid="7" name="MSIP_Label_d416729b-f83a-495b-8172-1b4831f1677b_SiteId">
    <vt:lpwstr>e0b90a4b-c4ab-46c6-8c8f-98d332fc2db0</vt:lpwstr>
  </property>
  <property fmtid="{D5CDD505-2E9C-101B-9397-08002B2CF9AE}" pid="8" name="MSIP_Label_d416729b-f83a-495b-8172-1b4831f1677b_ActionId">
    <vt:lpwstr>eba22c6c-35e5-4f40-86d6-4166b6ebd32a</vt:lpwstr>
  </property>
  <property fmtid="{D5CDD505-2E9C-101B-9397-08002B2CF9AE}" pid="9" name="MSIP_Label_d416729b-f83a-495b-8172-1b4831f1677b_ContentBits">
    <vt:lpwstr>2</vt:lpwstr>
  </property>
  <property fmtid="{D5CDD505-2E9C-101B-9397-08002B2CF9AE}" pid="10" name="MSIP_Label_d416729b-f83a-495b-8172-1b4831f1677b_Tag">
    <vt:lpwstr>10, 3, 0, 1</vt:lpwstr>
  </property>
</Properties>
</file>